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Profitability" sheetId="1" state="visible" r:id="rId1"/>
    <sheet name="Route Day Rollup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6" customWidth="1" min="4" max="4"/>
    <col width="18" customWidth="1" min="5" max="5"/>
    <col width="20" customWidth="1" min="6" max="6"/>
    <col width="22" customWidth="1" min="7" max="7"/>
    <col width="19" customWidth="1" min="8" max="8"/>
    <col width="25" customWidth="1" min="9" max="9"/>
    <col width="20" customWidth="1" min="10" max="10"/>
    <col width="22" customWidth="1" min="11" max="11"/>
    <col width="18" customWidth="1" min="12" max="12"/>
    <col width="17" customWidth="1" min="13" max="13"/>
    <col width="16" customWidth="1" min="14" max="14"/>
    <col width="16" customWidth="1" min="15" max="15"/>
  </cols>
  <sheetData>
    <row r="1">
      <c r="A1" s="1" t="inlineStr">
        <is>
          <t>AI INSIGHT SUMMARY:
Customer #14 generates only $12 profit per visit after drive time vs. your $38 average -- raise their rate at next renewal or drop the route. Your bottom 5 customers are draining $310/month in unrecovered labor and windshield time, more than offsetting your top 3 earners. Friday's route is your weakest day at $19 profit/visit because two distant low-rate accounts pull the whole schedule down -- consider rebooking them onto Tuesday's cluster. Overall fleet-wide profit per visit is healthy at $34, but 6 of 24 customers are below your true break-even visit cost.</t>
        </is>
      </c>
    </row>
    <row r="2"/>
    <row r="3"/>
    <row r="4"/>
    <row r="5">
      <c r="A5" s="2" t="inlineStr">
        <is>
          <t>Customer ID</t>
        </is>
      </c>
      <c r="B5" s="2" t="inlineStr">
        <is>
          <t>Customer Name</t>
        </is>
      </c>
      <c r="C5" s="2" t="inlineStr">
        <is>
          <t>Route Day</t>
        </is>
      </c>
      <c r="D5" s="2" t="inlineStr">
        <is>
          <t>Billing Amount Per Visit</t>
        </is>
      </c>
      <c r="E5" s="2" t="inlineStr">
        <is>
          <t>Visits Per Month</t>
        </is>
      </c>
      <c r="F5" s="2" t="inlineStr">
        <is>
          <t>Drive Time Minutes</t>
        </is>
      </c>
      <c r="G5" s="2" t="inlineStr">
        <is>
          <t>Service Time Minutes</t>
        </is>
      </c>
      <c r="H5" s="2" t="inlineStr">
        <is>
          <t>Hourly Labor Cost</t>
        </is>
      </c>
      <c r="I5" s="2" t="inlineStr">
        <is>
          <t>Vehicle Cost Per Minute</t>
        </is>
      </c>
      <c r="J5" s="2" t="inlineStr">
        <is>
          <t>Total Time Minutes</t>
        </is>
      </c>
      <c r="K5" s="2" t="inlineStr">
        <is>
          <t>Total Cost Per Visit</t>
        </is>
      </c>
      <c r="L5" s="2" t="inlineStr">
        <is>
          <t>Profit Per Visit</t>
        </is>
      </c>
      <c r="M5" s="2" t="inlineStr">
        <is>
          <t>Profit Per Hour</t>
        </is>
      </c>
      <c r="N5" s="2" t="inlineStr">
        <is>
          <t>Monthly Profit</t>
        </is>
      </c>
      <c r="O5" s="2" t="inlineStr">
        <is>
          <t>Verdict</t>
        </is>
      </c>
    </row>
    <row r="6">
      <c r="A6" t="inlineStr">
        <is>
          <t>C-01</t>
        </is>
      </c>
      <c r="B6" t="inlineStr">
        <is>
          <t>Henderson Lawn</t>
        </is>
      </c>
      <c r="C6" t="inlineStr">
        <is>
          <t>Monday</t>
        </is>
      </c>
      <c r="D6" t="n">
        <v>55</v>
      </c>
      <c r="E6" t="n">
        <v>4</v>
      </c>
      <c r="F6" t="n">
        <v>12</v>
      </c>
      <c r="G6" t="n">
        <v>35</v>
      </c>
      <c r="H6" t="n">
        <v>28</v>
      </c>
      <c r="I6" t="n">
        <v>0.45</v>
      </c>
      <c r="J6">
        <f>IFERROR(F6+G6,"")</f>
        <v/>
      </c>
      <c r="K6">
        <f>IFERROR((J6/60*H6)+(F6*I6),"")</f>
        <v/>
      </c>
      <c r="L6">
        <f>IFERROR(D6-K6,"")</f>
        <v/>
      </c>
      <c r="M6">
        <f>IFERROR(L6/(J6/60),"")</f>
        <v/>
      </c>
      <c r="N6">
        <f>IFERROR(L6*E6,"")</f>
        <v/>
      </c>
      <c r="O6">
        <f>IFERROR(IF(L6&lt;0,"DROP - losing money every visit",IF(L6&lt;20,"RENEGOTIATE - raise rate at renewal",IF(M6&lt;25,"REVIEW - low hourly yield","KEEP - profitable account"))),"")</f>
        <v/>
      </c>
    </row>
    <row r="7">
      <c r="A7" t="inlineStr">
        <is>
          <t>C-14</t>
        </is>
      </c>
      <c r="B7" t="inlineStr">
        <is>
          <t>Westfield Pool</t>
        </is>
      </c>
      <c r="C7" t="inlineStr">
        <is>
          <t>Friday</t>
        </is>
      </c>
      <c r="D7" t="n">
        <v>40</v>
      </c>
      <c r="E7" t="n">
        <v>2</v>
      </c>
      <c r="F7" t="n">
        <v>38</v>
      </c>
      <c r="G7" t="n">
        <v>25</v>
      </c>
      <c r="H7" t="n">
        <v>28</v>
      </c>
      <c r="I7" t="n">
        <v>0.45</v>
      </c>
      <c r="J7">
        <f>IFERROR(F7+G7,"")</f>
        <v/>
      </c>
      <c r="K7">
        <f>IFERROR((J7/60*H7)+(F7*I7),"")</f>
        <v/>
      </c>
      <c r="L7">
        <f>IFERROR(D7-K7,"")</f>
        <v/>
      </c>
      <c r="M7">
        <f>IFERROR(L7/(J7/60),"")</f>
        <v/>
      </c>
      <c r="N7">
        <f>IFERROR(L7*E7,"")</f>
        <v/>
      </c>
      <c r="O7">
        <f>IFERROR(IF(L7&lt;0,"DROP - losing money every visit",IF(L7&lt;20,"RENEGOTIATE - raise rate at renewal",IF(M7&lt;25,"REVIEW - low hourly yield","KEEP - profitable account"))),"")</f>
        <v/>
      </c>
    </row>
    <row r="8">
      <c r="A8" t="inlineStr">
        <is>
          <t>C-07</t>
        </is>
      </c>
      <c r="B8" t="inlineStr">
        <is>
          <t>Maple Court Clean</t>
        </is>
      </c>
      <c r="C8" t="inlineStr">
        <is>
          <t>Tuesday</t>
        </is>
      </c>
      <c r="D8" t="n">
        <v>90</v>
      </c>
      <c r="E8" t="n">
        <v>4</v>
      </c>
      <c r="F8" t="n">
        <v>8</v>
      </c>
      <c r="G8" t="n">
        <v>50</v>
      </c>
      <c r="H8" t="n">
        <v>28</v>
      </c>
      <c r="I8" t="n">
        <v>0.45</v>
      </c>
      <c r="J8">
        <f>IFERROR(F8+G8,"")</f>
        <v/>
      </c>
      <c r="K8">
        <f>IFERROR((J8/60*H8)+(F8*I8),"")</f>
        <v/>
      </c>
      <c r="L8">
        <f>IFERROR(D8-K8,"")</f>
        <v/>
      </c>
      <c r="M8">
        <f>IFERROR(L8/(J8/60),"")</f>
        <v/>
      </c>
      <c r="N8">
        <f>IFERROR(L8*E8,"")</f>
        <v/>
      </c>
      <c r="O8">
        <f>IFERROR(IF(L8&lt;0,"DROP - losing money every visit",IF(L8&lt;20,"RENEGOTIATE - raise rate at renewal",IF(M8&lt;25,"REVIEW - low hourly yield","KEEP - profitable account"))),"")</f>
        <v/>
      </c>
    </row>
    <row r="9">
      <c r="A9" t="inlineStr">
        <is>
          <t>C-22</t>
        </is>
      </c>
      <c r="B9" t="inlineStr">
        <is>
          <t>Riverside Pest</t>
        </is>
      </c>
      <c r="C9" t="inlineStr">
        <is>
          <t>Wednesday</t>
        </is>
      </c>
      <c r="D9" t="n">
        <v>48</v>
      </c>
      <c r="E9" t="n">
        <v>1</v>
      </c>
      <c r="F9" t="n">
        <v>22</v>
      </c>
      <c r="G9" t="n">
        <v>20</v>
      </c>
      <c r="H9" t="n">
        <v>28</v>
      </c>
      <c r="I9" t="n">
        <v>0.45</v>
      </c>
      <c r="J9">
        <f>IFERROR(F9+G9,"")</f>
        <v/>
      </c>
      <c r="K9">
        <f>IFERROR((J9/60*H9)+(F9*I9),"")</f>
        <v/>
      </c>
      <c r="L9">
        <f>IFERROR(D9-K9,"")</f>
        <v/>
      </c>
      <c r="M9">
        <f>IFERROR(L9/(J9/60),"")</f>
        <v/>
      </c>
      <c r="N9">
        <f>IFERROR(L9*E9,"")</f>
        <v/>
      </c>
      <c r="O9">
        <f>IFERROR(IF(L9&lt;0,"DROP - losing money every visit",IF(L9&lt;20,"RENEGOTIATE - raise rate at renewal",IF(M9&lt;25,"REVIEW - low hourly yield","KEEP - profitable account"))),"")</f>
        <v/>
      </c>
    </row>
    <row r="10">
      <c r="A10" t="inlineStr">
        <is>
          <t>C-09</t>
        </is>
      </c>
      <c r="B10" t="inlineStr">
        <is>
          <t>Oakgrove Estate</t>
        </is>
      </c>
      <c r="C10" t="inlineStr">
        <is>
          <t>Monday</t>
        </is>
      </c>
      <c r="D10" t="n">
        <v>120</v>
      </c>
      <c r="E10" t="n">
        <v>4</v>
      </c>
      <c r="F10" t="n">
        <v>15</v>
      </c>
      <c r="G10" t="n">
        <v>60</v>
      </c>
      <c r="H10" t="n">
        <v>28</v>
      </c>
      <c r="I10" t="n">
        <v>0.45</v>
      </c>
      <c r="J10">
        <f>IFERROR(F10+G10,"")</f>
        <v/>
      </c>
      <c r="K10">
        <f>IFERROR((J10/60*H10)+(F10*I10),"")</f>
        <v/>
      </c>
      <c r="L10">
        <f>IFERROR(D10-K10,"")</f>
        <v/>
      </c>
      <c r="M10">
        <f>IFERROR(L10/(J10/60),"")</f>
        <v/>
      </c>
      <c r="N10">
        <f>IFERROR(L10*E10,"")</f>
        <v/>
      </c>
      <c r="O10">
        <f>IFERROR(IF(L10&lt;0,"DROP - losing money every visit",IF(L10&lt;20,"RENEGOTIATE - raise rate at renewal",IF(M10&lt;25,"REVIEW - low hourly yield","KEEP - profitable account"))),"")</f>
        <v/>
      </c>
    </row>
    <row r="11">
      <c r="A11" t="inlineStr">
        <is>
          <t>C-18</t>
        </is>
      </c>
      <c r="B11" t="inlineStr">
        <is>
          <t>Dale St Apartments</t>
        </is>
      </c>
      <c r="C11" t="inlineStr">
        <is>
          <t>Friday</t>
        </is>
      </c>
      <c r="D11" t="n">
        <v>65</v>
      </c>
      <c r="E11" t="n">
        <v>4</v>
      </c>
      <c r="F11" t="n">
        <v>30</v>
      </c>
      <c r="G11" t="n">
        <v>40</v>
      </c>
      <c r="H11" t="n">
        <v>28</v>
      </c>
      <c r="I11" t="n">
        <v>0.45</v>
      </c>
      <c r="J11">
        <f>IFERROR(F11+G11,"")</f>
        <v/>
      </c>
      <c r="K11">
        <f>IFERROR((J11/60*H11)+(F11*I11),"")</f>
        <v/>
      </c>
      <c r="L11">
        <f>IFERROR(D11-K11,"")</f>
        <v/>
      </c>
      <c r="M11">
        <f>IFERROR(L11/(J11/60),"")</f>
        <v/>
      </c>
      <c r="N11">
        <f>IFERROR(L11*E11,"")</f>
        <v/>
      </c>
      <c r="O11">
        <f>IFERROR(IF(L11&lt;0,"DROP - losing money every visit",IF(L11&lt;20,"RENEGOTIATE - raise rate at renewal",IF(M11&lt;25,"REVIEW - low hourly yield","KEEP - profitable account"))),"")</f>
        <v/>
      </c>
    </row>
    <row r="12">
      <c r="J12">
        <f>IFERROR(F12+G12,"")</f>
        <v/>
      </c>
      <c r="K12">
        <f>IFERROR((J12/60*H12)+(F12*I12),"")</f>
        <v/>
      </c>
      <c r="L12">
        <f>IFERROR(D12-K12,"")</f>
        <v/>
      </c>
      <c r="M12">
        <f>IFERROR(L12/(J12/60),"")</f>
        <v/>
      </c>
      <c r="N12">
        <f>IFERROR(L12*E12,"")</f>
        <v/>
      </c>
      <c r="O12">
        <f>IFERROR(IF(L12&lt;0,"DROP - losing money every visit",IF(L12&lt;20,"RENEGOTIATE - raise rate at renewal",IF(M12&lt;25,"REVIEW - low hourly yield","KEEP - profitable account"))),"")</f>
        <v/>
      </c>
    </row>
    <row r="13">
      <c r="J13">
        <f>IFERROR(F13+G13,"")</f>
        <v/>
      </c>
      <c r="K13">
        <f>IFERROR((J13/60*H13)+(F13*I13),"")</f>
        <v/>
      </c>
      <c r="L13">
        <f>IFERROR(D13-K13,"")</f>
        <v/>
      </c>
      <c r="M13">
        <f>IFERROR(L13/(J13/60),"")</f>
        <v/>
      </c>
      <c r="N13">
        <f>IFERROR(L13*E13,"")</f>
        <v/>
      </c>
      <c r="O13">
        <f>IFERROR(IF(L13&lt;0,"DROP - losing money every visit",IF(L13&lt;20,"RENEGOTIATE - raise rate at renewal",IF(M13&lt;25,"REVIEW - low hourly yield","KEEP - profitable account"))),"")</f>
        <v/>
      </c>
    </row>
    <row r="14">
      <c r="J14">
        <f>IFERROR(F14+G14,"")</f>
        <v/>
      </c>
      <c r="K14">
        <f>IFERROR((J14/60*H14)+(F14*I14),"")</f>
        <v/>
      </c>
      <c r="L14">
        <f>IFERROR(D14-K14,"")</f>
        <v/>
      </c>
      <c r="M14">
        <f>IFERROR(L14/(J14/60),"")</f>
        <v/>
      </c>
      <c r="N14">
        <f>IFERROR(L14*E14,"")</f>
        <v/>
      </c>
      <c r="O14">
        <f>IFERROR(IF(L14&lt;0,"DROP - losing money every visit",IF(L14&lt;20,"RENEGOTIATE - raise rate at renewal",IF(M14&lt;25,"REVIEW - low hourly yield","KEEP - profitable account"))),"")</f>
        <v/>
      </c>
    </row>
    <row r="15">
      <c r="J15">
        <f>IFERROR(F15+G15,"")</f>
        <v/>
      </c>
      <c r="K15">
        <f>IFERROR((J15/60*H15)+(F15*I15),"")</f>
        <v/>
      </c>
      <c r="L15">
        <f>IFERROR(D15-K15,"")</f>
        <v/>
      </c>
      <c r="M15">
        <f>IFERROR(L15/(J15/60),"")</f>
        <v/>
      </c>
      <c r="N15">
        <f>IFERROR(L15*E15,"")</f>
        <v/>
      </c>
      <c r="O15">
        <f>IFERROR(IF(L15&lt;0,"DROP - losing money every visit",IF(L15&lt;20,"RENEGOTIATE - raise rate at renewal",IF(M15&lt;25,"REVIEW - low hourly yield","KEEP - profitable account"))),"")</f>
        <v/>
      </c>
    </row>
    <row r="16">
      <c r="J16">
        <f>IFERROR(F16+G16,"")</f>
        <v/>
      </c>
      <c r="K16">
        <f>IFERROR((J16/60*H16)+(F16*I16),"")</f>
        <v/>
      </c>
      <c r="L16">
        <f>IFERROR(D16-K16,"")</f>
        <v/>
      </c>
      <c r="M16">
        <f>IFERROR(L16/(J16/60),"")</f>
        <v/>
      </c>
      <c r="N16">
        <f>IFERROR(L16*E16,"")</f>
        <v/>
      </c>
      <c r="O16">
        <f>IFERROR(IF(L16&lt;0,"DROP - losing money every visit",IF(L16&lt;20,"RENEGOTIATE - raise rate at renewal",IF(M16&lt;25,"REVIEW - low hourly yield","KEEP - profitable account"))),"")</f>
        <v/>
      </c>
    </row>
    <row r="17">
      <c r="J17">
        <f>IFERROR(F17+G17,"")</f>
        <v/>
      </c>
      <c r="K17">
        <f>IFERROR((J17/60*H17)+(F17*I17),"")</f>
        <v/>
      </c>
      <c r="L17">
        <f>IFERROR(D17-K17,"")</f>
        <v/>
      </c>
      <c r="M17">
        <f>IFERROR(L17/(J17/60),"")</f>
        <v/>
      </c>
      <c r="N17">
        <f>IFERROR(L17*E17,"")</f>
        <v/>
      </c>
      <c r="O17">
        <f>IFERROR(IF(L17&lt;0,"DROP - losing money every visit",IF(L17&lt;20,"RENEGOTIATE - raise rate at renewal",IF(M17&lt;25,"REVIEW - low hourly yield","KEEP - profitable account"))),"")</f>
        <v/>
      </c>
    </row>
    <row r="18">
      <c r="J18">
        <f>IFERROR(F18+G18,"")</f>
        <v/>
      </c>
      <c r="K18">
        <f>IFERROR((J18/60*H18)+(F18*I18),"")</f>
        <v/>
      </c>
      <c r="L18">
        <f>IFERROR(D18-K18,"")</f>
        <v/>
      </c>
      <c r="M18">
        <f>IFERROR(L18/(J18/60),"")</f>
        <v/>
      </c>
      <c r="N18">
        <f>IFERROR(L18*E18,"")</f>
        <v/>
      </c>
      <c r="O18">
        <f>IFERROR(IF(L18&lt;0,"DROP - losing money every visit",IF(L18&lt;20,"RENEGOTIATE - raise rate at renewal",IF(M18&lt;25,"REVIEW - low hourly yield","KEEP - profitable account"))),"")</f>
        <v/>
      </c>
    </row>
    <row r="19">
      <c r="J19">
        <f>IFERROR(F19+G19,"")</f>
        <v/>
      </c>
      <c r="K19">
        <f>IFERROR((J19/60*H19)+(F19*I19),"")</f>
        <v/>
      </c>
      <c r="L19">
        <f>IFERROR(D19-K19,"")</f>
        <v/>
      </c>
      <c r="M19">
        <f>IFERROR(L19/(J19/60),"")</f>
        <v/>
      </c>
      <c r="N19">
        <f>IFERROR(L19*E19,"")</f>
        <v/>
      </c>
      <c r="O19">
        <f>IFERROR(IF(L19&lt;0,"DROP - losing money every visit",IF(L19&lt;20,"RENEGOTIATE - raise rate at renewal",IF(M19&lt;25,"REVIEW - low hourly yield","KEEP - profitable account"))),"")</f>
        <v/>
      </c>
    </row>
    <row r="20">
      <c r="J20">
        <f>IFERROR(F20+G20,"")</f>
        <v/>
      </c>
      <c r="K20">
        <f>IFERROR((J20/60*H20)+(F20*I20),"")</f>
        <v/>
      </c>
      <c r="L20">
        <f>IFERROR(D20-K20,"")</f>
        <v/>
      </c>
      <c r="M20">
        <f>IFERROR(L20/(J20/60),"")</f>
        <v/>
      </c>
      <c r="N20">
        <f>IFERROR(L20*E20,"")</f>
        <v/>
      </c>
      <c r="O20">
        <f>IFERROR(IF(L20&lt;0,"DROP - losing money every visit",IF(L20&lt;20,"RENEGOTIATE - raise rate at renewal",IF(M20&lt;25,"REVIEW - low hourly yield","KEEP - profitable account"))),"")</f>
        <v/>
      </c>
    </row>
    <row r="21">
      <c r="J21">
        <f>IFERROR(F21+G21,"")</f>
        <v/>
      </c>
      <c r="K21">
        <f>IFERROR((J21/60*H21)+(F21*I21),"")</f>
        <v/>
      </c>
      <c r="L21">
        <f>IFERROR(D21-K21,"")</f>
        <v/>
      </c>
      <c r="M21">
        <f>IFERROR(L21/(J21/60),"")</f>
        <v/>
      </c>
      <c r="N21">
        <f>IFERROR(L21*E21,"")</f>
        <v/>
      </c>
      <c r="O21">
        <f>IFERROR(IF(L21&lt;0,"DROP - losing money every visit",IF(L21&lt;20,"RENEGOTIATE - raise rate at renewal",IF(M21&lt;25,"REVIEW - low hourly yield","KEEP - profitable account"))),"")</f>
        <v/>
      </c>
    </row>
    <row r="22">
      <c r="J22">
        <f>IFERROR(F22+G22,"")</f>
        <v/>
      </c>
      <c r="K22">
        <f>IFERROR((J22/60*H22)+(F22*I22),"")</f>
        <v/>
      </c>
      <c r="L22">
        <f>IFERROR(D22-K22,"")</f>
        <v/>
      </c>
      <c r="M22">
        <f>IFERROR(L22/(J22/60),"")</f>
        <v/>
      </c>
      <c r="N22">
        <f>IFERROR(L22*E22,"")</f>
        <v/>
      </c>
      <c r="O22">
        <f>IFERROR(IF(L22&lt;0,"DROP - losing money every visit",IF(L22&lt;20,"RENEGOTIATE - raise rate at renewal",IF(M22&lt;25,"REVIEW - low hourly yield","KEEP - profitable account"))),"")</f>
        <v/>
      </c>
    </row>
    <row r="23">
      <c r="J23">
        <f>IFERROR(F23+G23,"")</f>
        <v/>
      </c>
      <c r="K23">
        <f>IFERROR((J23/60*H23)+(F23*I23),"")</f>
        <v/>
      </c>
      <c r="L23">
        <f>IFERROR(D23-K23,"")</f>
        <v/>
      </c>
      <c r="M23">
        <f>IFERROR(L23/(J23/60),"")</f>
        <v/>
      </c>
      <c r="N23">
        <f>IFERROR(L23*E23,"")</f>
        <v/>
      </c>
      <c r="O23">
        <f>IFERROR(IF(L23&lt;0,"DROP - losing money every visit",IF(L23&lt;20,"RENEGOTIATE - raise rate at renewal",IF(M23&lt;25,"REVIEW - low hourly yield","KEEP - profitable account"))),"")</f>
        <v/>
      </c>
    </row>
    <row r="24">
      <c r="J24">
        <f>IFERROR(F24+G24,"")</f>
        <v/>
      </c>
      <c r="K24">
        <f>IFERROR((J24/60*H24)+(F24*I24),"")</f>
        <v/>
      </c>
      <c r="L24">
        <f>IFERROR(D24-K24,"")</f>
        <v/>
      </c>
      <c r="M24">
        <f>IFERROR(L24/(J24/60),"")</f>
        <v/>
      </c>
      <c r="N24">
        <f>IFERROR(L24*E24,"")</f>
        <v/>
      </c>
      <c r="O24">
        <f>IFERROR(IF(L24&lt;0,"DROP - losing money every visit",IF(L24&lt;20,"RENEGOTIATE - raise rate at renewal",IF(M24&lt;25,"REVIEW - low hourly yield","KEEP - profitable account"))),"")</f>
        <v/>
      </c>
    </row>
    <row r="25">
      <c r="J25">
        <f>IFERROR(F25+G25,"")</f>
        <v/>
      </c>
      <c r="K25">
        <f>IFERROR((J25/60*H25)+(F25*I25),"")</f>
        <v/>
      </c>
      <c r="L25">
        <f>IFERROR(D25-K25,"")</f>
        <v/>
      </c>
      <c r="M25">
        <f>IFERROR(L25/(J25/60),"")</f>
        <v/>
      </c>
      <c r="N25">
        <f>IFERROR(L25*E25,"")</f>
        <v/>
      </c>
      <c r="O25">
        <f>IFERROR(IF(L25&lt;0,"DROP - losing money every visit",IF(L25&lt;20,"RENEGOTIATE - raise rate at renewal",IF(M25&lt;25,"REVIEW - low hourly yield","KEEP - profitable account"))),"")</f>
        <v/>
      </c>
    </row>
    <row r="26">
      <c r="J26">
        <f>IFERROR(F26+G26,"")</f>
        <v/>
      </c>
      <c r="K26">
        <f>IFERROR((J26/60*H26)+(F26*I26),"")</f>
        <v/>
      </c>
      <c r="L26">
        <f>IFERROR(D26-K26,"")</f>
        <v/>
      </c>
      <c r="M26">
        <f>IFERROR(L26/(J26/60),"")</f>
        <v/>
      </c>
      <c r="N26">
        <f>IFERROR(L26*E26,"")</f>
        <v/>
      </c>
      <c r="O26">
        <f>IFERROR(IF(L26&lt;0,"DROP - losing money every visit",IF(L26&lt;20,"RENEGOTIATE - raise rate at renewal",IF(M26&lt;25,"REVIEW - low hourly yield","KEEP - profitable account"))),"")</f>
        <v/>
      </c>
    </row>
  </sheetData>
  <mergeCells count="1">
    <mergeCell ref="A1:O3"/>
  </mergeCells>
  <conditionalFormatting sqref="L6:L26">
    <cfRule type="cellIs" priority="1" operator="lessThan" dxfId="0">
      <formula>0</formula>
    </cfRule>
    <cfRule type="cellIs" priority="2" operator="lessThan" dxfId="1">
      <formula>20</formula>
    </cfRule>
    <cfRule type="cellIs" priority="3" operator="greaterThan" dxfId="2">
      <formula>35</formula>
    </cfRule>
  </conditionalFormatting>
  <conditionalFormatting sqref="M6:M26">
    <cfRule type="cellIs" priority="4" operator="lessThan" dxfId="0">
      <formula>25</formula>
    </cfRule>
    <cfRule type="cellIs" priority="5" operator="greaterThan" dxfId="2">
      <formula>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23" customWidth="1" min="4" max="4"/>
    <col width="23" customWidth="1" min="5" max="5"/>
    <col width="22" customWidth="1" min="6" max="6"/>
    <col width="22" customWidth="1" min="7" max="7"/>
    <col width="20" customWidth="1" min="8" max="8"/>
    <col width="16" customWidth="1" min="9" max="9"/>
  </cols>
  <sheetData>
    <row r="1">
      <c r="A1" s="1" t="inlineStr">
        <is>
          <t>AI INSIGHT SUMMARY:
Customer #14 generates only $12 profit per visit after drive time vs. your $38 average -- raise their rate at next renewal or drop the route. Your bottom 5 customers are draining $310/month in unrecovered labor and windshield time, more than offsetting your top 3 earners. Friday's route is your weakest day at $19 profit/visit because two distant low-rate accounts pull the whole schedule down -- consider rebooking them onto Tuesday's cluster. Overall fleet-wide profit per visit is healthy at $34, but 6 of 24 customers are below your true break-even visit cost.</t>
        </is>
      </c>
    </row>
    <row r="2"/>
    <row r="3"/>
    <row r="4"/>
    <row r="5">
      <c r="A5" s="2" t="inlineStr">
        <is>
          <t>Route Day</t>
        </is>
      </c>
      <c r="B5" s="2" t="inlineStr">
        <is>
          <t>Customer Count</t>
        </is>
      </c>
      <c r="C5" s="2" t="inlineStr">
        <is>
          <t>Total Drive Minutes</t>
        </is>
      </c>
      <c r="D5" s="2" t="inlineStr">
        <is>
          <t>Total Service Minutes</t>
        </is>
      </c>
      <c r="E5" s="2" t="inlineStr">
        <is>
          <t>Total Monthly Revenue</t>
        </is>
      </c>
      <c r="F5" s="2" t="inlineStr">
        <is>
          <t>Total Monthly Profit</t>
        </is>
      </c>
      <c r="G5" s="2" t="inlineStr">
        <is>
          <t>Avg Profit Per Visit</t>
        </is>
      </c>
      <c r="H5" s="2" t="inlineStr">
        <is>
          <t>Drive Time Ratio %</t>
        </is>
      </c>
      <c r="I5" s="2" t="inlineStr">
        <is>
          <t>Day Verdict</t>
        </is>
      </c>
    </row>
    <row r="6">
      <c r="A6" t="inlineStr">
        <is>
          <t>Monday</t>
        </is>
      </c>
      <c r="B6" t="n">
        <v>2</v>
      </c>
      <c r="C6">
        <f>IFERROR(SUMIF('Customer Profitability'!$C:$C,A6,'Customer Profitability'!$F:$F),"")</f>
        <v/>
      </c>
      <c r="D6">
        <f>IFERROR(SUMIF('Customer Profitability'!$C:$C,A6,'Customer Profitability'!$G:$G),"")</f>
        <v/>
      </c>
      <c r="E6">
        <f>IFERROR(SUMPRODUCT(('Customer Profitability'!$C$2:$C$500=A6)*'Customer Profitability'!$D$2:$D$500*'Customer Profitability'!$E$2:$E$500),"")</f>
        <v/>
      </c>
      <c r="F6">
        <f>IFERROR(SUMIF('Customer Profitability'!$C:$C,A6,'Customer Profitability'!$N:$N),"")</f>
        <v/>
      </c>
      <c r="G6">
        <f>IFERROR(AVERAGEIF('Customer Profitability'!$C:$C,A6,'Customer Profitability'!$L:$L),"")</f>
        <v/>
      </c>
      <c r="H6">
        <f>IFERROR(C6/(C6+D6),"")</f>
        <v/>
      </c>
      <c r="I6">
        <f>IFERROR(IF(G6&lt;15,"RESTRUCTURE - weak day, rebook distant stops",IF(H6&gt;0.4,"TIGHTEN - too much windshield time","STRONG - keep route as-is")),"")</f>
        <v/>
      </c>
    </row>
    <row r="7">
      <c r="A7" t="inlineStr">
        <is>
          <t>Tuesday</t>
        </is>
      </c>
      <c r="B7" t="n">
        <v>1</v>
      </c>
      <c r="C7">
        <f>IFERROR(SUMIF('Customer Profitability'!$C:$C,A7,'Customer Profitability'!$F:$F),"")</f>
        <v/>
      </c>
      <c r="D7">
        <f>IFERROR(SUMIF('Customer Profitability'!$C:$C,A7,'Customer Profitability'!$G:$G),"")</f>
        <v/>
      </c>
      <c r="E7">
        <f>IFERROR(SUMPRODUCT(('Customer Profitability'!$C$2:$C$500=A7)*'Customer Profitability'!$D$2:$D$500*'Customer Profitability'!$E$2:$E$500),"")</f>
        <v/>
      </c>
      <c r="F7">
        <f>IFERROR(SUMIF('Customer Profitability'!$C:$C,A7,'Customer Profitability'!$N:$N),"")</f>
        <v/>
      </c>
      <c r="G7">
        <f>IFERROR(AVERAGEIF('Customer Profitability'!$C:$C,A7,'Customer Profitability'!$L:$L),"")</f>
        <v/>
      </c>
      <c r="H7">
        <f>IFERROR(C7/(C7+D7),"")</f>
        <v/>
      </c>
      <c r="I7">
        <f>IFERROR(IF(G7&lt;15,"RESTRUCTURE - weak day, rebook distant stops",IF(H7&gt;0.4,"TIGHTEN - too much windshield time","STRONG - keep route as-is")),"")</f>
        <v/>
      </c>
    </row>
    <row r="8">
      <c r="A8" t="inlineStr">
        <is>
          <t>Wednesday</t>
        </is>
      </c>
      <c r="B8" t="n">
        <v>1</v>
      </c>
      <c r="C8">
        <f>IFERROR(SUMIF('Customer Profitability'!$C:$C,A8,'Customer Profitability'!$F:$F),"")</f>
        <v/>
      </c>
      <c r="D8">
        <f>IFERROR(SUMIF('Customer Profitability'!$C:$C,A8,'Customer Profitability'!$G:$G),"")</f>
        <v/>
      </c>
      <c r="E8">
        <f>IFERROR(SUMPRODUCT(('Customer Profitability'!$C$2:$C$500=A8)*'Customer Profitability'!$D$2:$D$500*'Customer Profitability'!$E$2:$E$500),"")</f>
        <v/>
      </c>
      <c r="F8">
        <f>IFERROR(SUMIF('Customer Profitability'!$C:$C,A8,'Customer Profitability'!$N:$N),"")</f>
        <v/>
      </c>
      <c r="G8">
        <f>IFERROR(AVERAGEIF('Customer Profitability'!$C:$C,A8,'Customer Profitability'!$L:$L),"")</f>
        <v/>
      </c>
      <c r="H8">
        <f>IFERROR(C8/(C8+D8),"")</f>
        <v/>
      </c>
      <c r="I8">
        <f>IFERROR(IF(G8&lt;15,"RESTRUCTURE - weak day, rebook distant stops",IF(H8&gt;0.4,"TIGHTEN - too much windshield time","STRONG - keep route as-is")),"")</f>
        <v/>
      </c>
    </row>
    <row r="9">
      <c r="A9" t="inlineStr">
        <is>
          <t>Friday</t>
        </is>
      </c>
      <c r="B9" t="n">
        <v>2</v>
      </c>
      <c r="C9">
        <f>IFERROR(SUMIF('Customer Profitability'!$C:$C,A9,'Customer Profitability'!$F:$F),"")</f>
        <v/>
      </c>
      <c r="D9">
        <f>IFERROR(SUMIF('Customer Profitability'!$C:$C,A9,'Customer Profitability'!$G:$G),"")</f>
        <v/>
      </c>
      <c r="E9">
        <f>IFERROR(SUMPRODUCT(('Customer Profitability'!$C$2:$C$500=A9)*'Customer Profitability'!$D$2:$D$500*'Customer Profitability'!$E$2:$E$500),"")</f>
        <v/>
      </c>
      <c r="F9">
        <f>IFERROR(SUMIF('Customer Profitability'!$C:$C,A9,'Customer Profitability'!$N:$N),"")</f>
        <v/>
      </c>
      <c r="G9">
        <f>IFERROR(AVERAGEIF('Customer Profitability'!$C:$C,A9,'Customer Profitability'!$L:$L),"")</f>
        <v/>
      </c>
      <c r="H9">
        <f>IFERROR(C9/(C9+D9),"")</f>
        <v/>
      </c>
      <c r="I9">
        <f>IFERROR(IF(G9&lt;15,"RESTRUCTURE - weak day, rebook distant stops",IF(H9&gt;0.4,"TIGHTEN - too much windshield time","STRONG - keep route as-is")),"")</f>
        <v/>
      </c>
    </row>
    <row r="10">
      <c r="C10">
        <f>IFERROR(SUMIF('Customer Profitability'!$C:$C,A10,'Customer Profitability'!$F:$F),"")</f>
        <v/>
      </c>
      <c r="D10">
        <f>IFERROR(SUMIF('Customer Profitability'!$C:$C,A10,'Customer Profitability'!$G:$G),"")</f>
        <v/>
      </c>
      <c r="E10">
        <f>IFERROR(SUMPRODUCT(('Customer Profitability'!$C$2:$C$500=A10)*'Customer Profitability'!$D$2:$D$500*'Customer Profitability'!$E$2:$E$500),"")</f>
        <v/>
      </c>
      <c r="F10">
        <f>IFERROR(SUMIF('Customer Profitability'!$C:$C,A10,'Customer Profitability'!$N:$N),"")</f>
        <v/>
      </c>
      <c r="G10">
        <f>IFERROR(AVERAGEIF('Customer Profitability'!$C:$C,A10,'Customer Profitability'!$L:$L),"")</f>
        <v/>
      </c>
      <c r="H10">
        <f>IFERROR(C10/(C10+D10),"")</f>
        <v/>
      </c>
      <c r="I10">
        <f>IFERROR(IF(G10&lt;15,"RESTRUCTURE - weak day, rebook distant stops",IF(H10&gt;0.4,"TIGHTEN - too much windshield time","STRONG - keep route as-is")),"")</f>
        <v/>
      </c>
    </row>
    <row r="11">
      <c r="C11">
        <f>IFERROR(SUMIF('Customer Profitability'!$C:$C,A11,'Customer Profitability'!$F:$F),"")</f>
        <v/>
      </c>
      <c r="D11">
        <f>IFERROR(SUMIF('Customer Profitability'!$C:$C,A11,'Customer Profitability'!$G:$G),"")</f>
        <v/>
      </c>
      <c r="E11">
        <f>IFERROR(SUMPRODUCT(('Customer Profitability'!$C$2:$C$500=A11)*'Customer Profitability'!$D$2:$D$500*'Customer Profitability'!$E$2:$E$500),"")</f>
        <v/>
      </c>
      <c r="F11">
        <f>IFERROR(SUMIF('Customer Profitability'!$C:$C,A11,'Customer Profitability'!$N:$N),"")</f>
        <v/>
      </c>
      <c r="G11">
        <f>IFERROR(AVERAGEIF('Customer Profitability'!$C:$C,A11,'Customer Profitability'!$L:$L),"")</f>
        <v/>
      </c>
      <c r="H11">
        <f>IFERROR(C11/(C11+D11),"")</f>
        <v/>
      </c>
      <c r="I11">
        <f>IFERROR(IF(G11&lt;15,"RESTRUCTURE - weak day, rebook distant stops",IF(H11&gt;0.4,"TIGHTEN - too much windshield time","STRONG - keep route as-is")),"")</f>
        <v/>
      </c>
    </row>
    <row r="12">
      <c r="C12">
        <f>IFERROR(SUMIF('Customer Profitability'!$C:$C,A12,'Customer Profitability'!$F:$F),"")</f>
        <v/>
      </c>
      <c r="D12">
        <f>IFERROR(SUMIF('Customer Profitability'!$C:$C,A12,'Customer Profitability'!$G:$G),"")</f>
        <v/>
      </c>
      <c r="E12">
        <f>IFERROR(SUMPRODUCT(('Customer Profitability'!$C$2:$C$500=A12)*'Customer Profitability'!$D$2:$D$500*'Customer Profitability'!$E$2:$E$500),"")</f>
        <v/>
      </c>
      <c r="F12">
        <f>IFERROR(SUMIF('Customer Profitability'!$C:$C,A12,'Customer Profitability'!$N:$N),"")</f>
        <v/>
      </c>
      <c r="G12">
        <f>IFERROR(AVERAGEIF('Customer Profitability'!$C:$C,A12,'Customer Profitability'!$L:$L),"")</f>
        <v/>
      </c>
      <c r="H12">
        <f>IFERROR(C12/(C12+D12),"")</f>
        <v/>
      </c>
      <c r="I12">
        <f>IFERROR(IF(G12&lt;15,"RESTRUCTURE - weak day, rebook distant stops",IF(H12&gt;0.4,"TIGHTEN - too much windshield time","STRONG - keep route as-is")),"")</f>
        <v/>
      </c>
    </row>
    <row r="13">
      <c r="C13">
        <f>IFERROR(SUMIF('Customer Profitability'!$C:$C,A13,'Customer Profitability'!$F:$F),"")</f>
        <v/>
      </c>
      <c r="D13">
        <f>IFERROR(SUMIF('Customer Profitability'!$C:$C,A13,'Customer Profitability'!$G:$G),"")</f>
        <v/>
      </c>
      <c r="E13">
        <f>IFERROR(SUMPRODUCT(('Customer Profitability'!$C$2:$C$500=A13)*'Customer Profitability'!$D$2:$D$500*'Customer Profitability'!$E$2:$E$500),"")</f>
        <v/>
      </c>
      <c r="F13">
        <f>IFERROR(SUMIF('Customer Profitability'!$C:$C,A13,'Customer Profitability'!$N:$N),"")</f>
        <v/>
      </c>
      <c r="G13">
        <f>IFERROR(AVERAGEIF('Customer Profitability'!$C:$C,A13,'Customer Profitability'!$L:$L),"")</f>
        <v/>
      </c>
      <c r="H13">
        <f>IFERROR(C13/(C13+D13),"")</f>
        <v/>
      </c>
      <c r="I13">
        <f>IFERROR(IF(G13&lt;15,"RESTRUCTURE - weak day, rebook distant stops",IF(H13&gt;0.4,"TIGHTEN - too much windshield time","STRONG - keep route as-is")),"")</f>
        <v/>
      </c>
    </row>
    <row r="14">
      <c r="C14">
        <f>IFERROR(SUMIF('Customer Profitability'!$C:$C,A14,'Customer Profitability'!$F:$F),"")</f>
        <v/>
      </c>
      <c r="D14">
        <f>IFERROR(SUMIF('Customer Profitability'!$C:$C,A14,'Customer Profitability'!$G:$G),"")</f>
        <v/>
      </c>
      <c r="E14">
        <f>IFERROR(SUMPRODUCT(('Customer Profitability'!$C$2:$C$500=A14)*'Customer Profitability'!$D$2:$D$500*'Customer Profitability'!$E$2:$E$500),"")</f>
        <v/>
      </c>
      <c r="F14">
        <f>IFERROR(SUMIF('Customer Profitability'!$C:$C,A14,'Customer Profitability'!$N:$N),"")</f>
        <v/>
      </c>
      <c r="G14">
        <f>IFERROR(AVERAGEIF('Customer Profitability'!$C:$C,A14,'Customer Profitability'!$L:$L),"")</f>
        <v/>
      </c>
      <c r="H14">
        <f>IFERROR(C14/(C14+D14),"")</f>
        <v/>
      </c>
      <c r="I14">
        <f>IFERROR(IF(G14&lt;15,"RESTRUCTURE - weak day, rebook distant stops",IF(H14&gt;0.4,"TIGHTEN - too much windshield time","STRONG - keep route as-is")),"")</f>
        <v/>
      </c>
    </row>
    <row r="15">
      <c r="C15">
        <f>IFERROR(SUMIF('Customer Profitability'!$C:$C,A15,'Customer Profitability'!$F:$F),"")</f>
        <v/>
      </c>
      <c r="D15">
        <f>IFERROR(SUMIF('Customer Profitability'!$C:$C,A15,'Customer Profitability'!$G:$G),"")</f>
        <v/>
      </c>
      <c r="E15">
        <f>IFERROR(SUMPRODUCT(('Customer Profitability'!$C$2:$C$500=A15)*'Customer Profitability'!$D$2:$D$500*'Customer Profitability'!$E$2:$E$500),"")</f>
        <v/>
      </c>
      <c r="F15">
        <f>IFERROR(SUMIF('Customer Profitability'!$C:$C,A15,'Customer Profitability'!$N:$N),"")</f>
        <v/>
      </c>
      <c r="G15">
        <f>IFERROR(AVERAGEIF('Customer Profitability'!$C:$C,A15,'Customer Profitability'!$L:$L),"")</f>
        <v/>
      </c>
      <c r="H15">
        <f>IFERROR(C15/(C15+D15),"")</f>
        <v/>
      </c>
      <c r="I15">
        <f>IFERROR(IF(G15&lt;15,"RESTRUCTURE - weak day, rebook distant stops",IF(H15&gt;0.4,"TIGHTEN - too much windshield time","STRONG - keep route as-is")),"")</f>
        <v/>
      </c>
    </row>
    <row r="16">
      <c r="C16">
        <f>IFERROR(SUMIF('Customer Profitability'!$C:$C,A16,'Customer Profitability'!$F:$F),"")</f>
        <v/>
      </c>
      <c r="D16">
        <f>IFERROR(SUMIF('Customer Profitability'!$C:$C,A16,'Customer Profitability'!$G:$G),"")</f>
        <v/>
      </c>
      <c r="E16">
        <f>IFERROR(SUMPRODUCT(('Customer Profitability'!$C$2:$C$500=A16)*'Customer Profitability'!$D$2:$D$500*'Customer Profitability'!$E$2:$E$500),"")</f>
        <v/>
      </c>
      <c r="F16">
        <f>IFERROR(SUMIF('Customer Profitability'!$C:$C,A16,'Customer Profitability'!$N:$N),"")</f>
        <v/>
      </c>
      <c r="G16">
        <f>IFERROR(AVERAGEIF('Customer Profitability'!$C:$C,A16,'Customer Profitability'!$L:$L),"")</f>
        <v/>
      </c>
      <c r="H16">
        <f>IFERROR(C16/(C16+D16),"")</f>
        <v/>
      </c>
      <c r="I16">
        <f>IFERROR(IF(G16&lt;15,"RESTRUCTURE - weak day, rebook distant stops",IF(H16&gt;0.4,"TIGHTEN - too much windshield time","STRONG - keep route as-is")),"")</f>
        <v/>
      </c>
    </row>
    <row r="17">
      <c r="C17">
        <f>IFERROR(SUMIF('Customer Profitability'!$C:$C,A17,'Customer Profitability'!$F:$F),"")</f>
        <v/>
      </c>
      <c r="D17">
        <f>IFERROR(SUMIF('Customer Profitability'!$C:$C,A17,'Customer Profitability'!$G:$G),"")</f>
        <v/>
      </c>
      <c r="E17">
        <f>IFERROR(SUMPRODUCT(('Customer Profitability'!$C$2:$C$500=A17)*'Customer Profitability'!$D$2:$D$500*'Customer Profitability'!$E$2:$E$500),"")</f>
        <v/>
      </c>
      <c r="F17">
        <f>IFERROR(SUMIF('Customer Profitability'!$C:$C,A17,'Customer Profitability'!$N:$N),"")</f>
        <v/>
      </c>
      <c r="G17">
        <f>IFERROR(AVERAGEIF('Customer Profitability'!$C:$C,A17,'Customer Profitability'!$L:$L),"")</f>
        <v/>
      </c>
      <c r="H17">
        <f>IFERROR(C17/(C17+D17),"")</f>
        <v/>
      </c>
      <c r="I17">
        <f>IFERROR(IF(G17&lt;15,"RESTRUCTURE - weak day, rebook distant stops",IF(H17&gt;0.4,"TIGHTEN - too much windshield time","STRONG - keep route as-is")),"")</f>
        <v/>
      </c>
    </row>
    <row r="18">
      <c r="C18">
        <f>IFERROR(SUMIF('Customer Profitability'!$C:$C,A18,'Customer Profitability'!$F:$F),"")</f>
        <v/>
      </c>
      <c r="D18">
        <f>IFERROR(SUMIF('Customer Profitability'!$C:$C,A18,'Customer Profitability'!$G:$G),"")</f>
        <v/>
      </c>
      <c r="E18">
        <f>IFERROR(SUMPRODUCT(('Customer Profitability'!$C$2:$C$500=A18)*'Customer Profitability'!$D$2:$D$500*'Customer Profitability'!$E$2:$E$500),"")</f>
        <v/>
      </c>
      <c r="F18">
        <f>IFERROR(SUMIF('Customer Profitability'!$C:$C,A18,'Customer Profitability'!$N:$N),"")</f>
        <v/>
      </c>
      <c r="G18">
        <f>IFERROR(AVERAGEIF('Customer Profitability'!$C:$C,A18,'Customer Profitability'!$L:$L),"")</f>
        <v/>
      </c>
      <c r="H18">
        <f>IFERROR(C18/(C18+D18),"")</f>
        <v/>
      </c>
      <c r="I18">
        <f>IFERROR(IF(G18&lt;15,"RESTRUCTURE - weak day, rebook distant stops",IF(H18&gt;0.4,"TIGHTEN - too much windshield time","STRONG - keep route as-is")),"")</f>
        <v/>
      </c>
    </row>
    <row r="19">
      <c r="C19">
        <f>IFERROR(SUMIF('Customer Profitability'!$C:$C,A19,'Customer Profitability'!$F:$F),"")</f>
        <v/>
      </c>
      <c r="D19">
        <f>IFERROR(SUMIF('Customer Profitability'!$C:$C,A19,'Customer Profitability'!$G:$G),"")</f>
        <v/>
      </c>
      <c r="E19">
        <f>IFERROR(SUMPRODUCT(('Customer Profitability'!$C$2:$C$500=A19)*'Customer Profitability'!$D$2:$D$500*'Customer Profitability'!$E$2:$E$500),"")</f>
        <v/>
      </c>
      <c r="F19">
        <f>IFERROR(SUMIF('Customer Profitability'!$C:$C,A19,'Customer Profitability'!$N:$N),"")</f>
        <v/>
      </c>
      <c r="G19">
        <f>IFERROR(AVERAGEIF('Customer Profitability'!$C:$C,A19,'Customer Profitability'!$L:$L),"")</f>
        <v/>
      </c>
      <c r="H19">
        <f>IFERROR(C19/(C19+D19),"")</f>
        <v/>
      </c>
      <c r="I19">
        <f>IFERROR(IF(G19&lt;15,"RESTRUCTURE - weak day, rebook distant stops",IF(H19&gt;0.4,"TIGHTEN - too much windshield time","STRONG - keep route as-is")),"")</f>
        <v/>
      </c>
    </row>
    <row r="20">
      <c r="C20">
        <f>IFERROR(SUMIF('Customer Profitability'!$C:$C,A20,'Customer Profitability'!$F:$F),"")</f>
        <v/>
      </c>
      <c r="D20">
        <f>IFERROR(SUMIF('Customer Profitability'!$C:$C,A20,'Customer Profitability'!$G:$G),"")</f>
        <v/>
      </c>
      <c r="E20">
        <f>IFERROR(SUMPRODUCT(('Customer Profitability'!$C$2:$C$500=A20)*'Customer Profitability'!$D$2:$D$500*'Customer Profitability'!$E$2:$E$500),"")</f>
        <v/>
      </c>
      <c r="F20">
        <f>IFERROR(SUMIF('Customer Profitability'!$C:$C,A20,'Customer Profitability'!$N:$N),"")</f>
        <v/>
      </c>
      <c r="G20">
        <f>IFERROR(AVERAGEIF('Customer Profitability'!$C:$C,A20,'Customer Profitability'!$L:$L),"")</f>
        <v/>
      </c>
      <c r="H20">
        <f>IFERROR(C20/(C20+D20),"")</f>
        <v/>
      </c>
      <c r="I20">
        <f>IFERROR(IF(G20&lt;15,"RESTRUCTURE - weak day, rebook distant stops",IF(H20&gt;0.4,"TIGHTEN - too much windshield time","STRONG - keep route as-is")),"")</f>
        <v/>
      </c>
    </row>
    <row r="21">
      <c r="C21">
        <f>IFERROR(SUMIF('Customer Profitability'!$C:$C,A21,'Customer Profitability'!$F:$F),"")</f>
        <v/>
      </c>
      <c r="D21">
        <f>IFERROR(SUMIF('Customer Profitability'!$C:$C,A21,'Customer Profitability'!$G:$G),"")</f>
        <v/>
      </c>
      <c r="E21">
        <f>IFERROR(SUMPRODUCT(('Customer Profitability'!$C$2:$C$500=A21)*'Customer Profitability'!$D$2:$D$500*'Customer Profitability'!$E$2:$E$500),"")</f>
        <v/>
      </c>
      <c r="F21">
        <f>IFERROR(SUMIF('Customer Profitability'!$C:$C,A21,'Customer Profitability'!$N:$N),"")</f>
        <v/>
      </c>
      <c r="G21">
        <f>IFERROR(AVERAGEIF('Customer Profitability'!$C:$C,A21,'Customer Profitability'!$L:$L),"")</f>
        <v/>
      </c>
      <c r="H21">
        <f>IFERROR(C21/(C21+D21),"")</f>
        <v/>
      </c>
      <c r="I21">
        <f>IFERROR(IF(G21&lt;15,"RESTRUCTURE - weak day, rebook distant stops",IF(H21&gt;0.4,"TIGHTEN - too much windshield time","STRONG - keep route as-is")),"")</f>
        <v/>
      </c>
    </row>
    <row r="22">
      <c r="C22">
        <f>IFERROR(SUMIF('Customer Profitability'!$C:$C,A22,'Customer Profitability'!$F:$F),"")</f>
        <v/>
      </c>
      <c r="D22">
        <f>IFERROR(SUMIF('Customer Profitability'!$C:$C,A22,'Customer Profitability'!$G:$G),"")</f>
        <v/>
      </c>
      <c r="E22">
        <f>IFERROR(SUMPRODUCT(('Customer Profitability'!$C$2:$C$500=A22)*'Customer Profitability'!$D$2:$D$500*'Customer Profitability'!$E$2:$E$500),"")</f>
        <v/>
      </c>
      <c r="F22">
        <f>IFERROR(SUMIF('Customer Profitability'!$C:$C,A22,'Customer Profitability'!$N:$N),"")</f>
        <v/>
      </c>
      <c r="G22">
        <f>IFERROR(AVERAGEIF('Customer Profitability'!$C:$C,A22,'Customer Profitability'!$L:$L),"")</f>
        <v/>
      </c>
      <c r="H22">
        <f>IFERROR(C22/(C22+D22),"")</f>
        <v/>
      </c>
      <c r="I22">
        <f>IFERROR(IF(G22&lt;15,"RESTRUCTURE - weak day, rebook distant stops",IF(H22&gt;0.4,"TIGHTEN - too much windshield time","STRONG - keep route as-is")),"")</f>
        <v/>
      </c>
    </row>
    <row r="23">
      <c r="C23">
        <f>IFERROR(SUMIF('Customer Profitability'!$C:$C,A23,'Customer Profitability'!$F:$F),"")</f>
        <v/>
      </c>
      <c r="D23">
        <f>IFERROR(SUMIF('Customer Profitability'!$C:$C,A23,'Customer Profitability'!$G:$G),"")</f>
        <v/>
      </c>
      <c r="E23">
        <f>IFERROR(SUMPRODUCT(('Customer Profitability'!$C$2:$C$500=A23)*'Customer Profitability'!$D$2:$D$500*'Customer Profitability'!$E$2:$E$500),"")</f>
        <v/>
      </c>
      <c r="F23">
        <f>IFERROR(SUMIF('Customer Profitability'!$C:$C,A23,'Customer Profitability'!$N:$N),"")</f>
        <v/>
      </c>
      <c r="G23">
        <f>IFERROR(AVERAGEIF('Customer Profitability'!$C:$C,A23,'Customer Profitability'!$L:$L),"")</f>
        <v/>
      </c>
      <c r="H23">
        <f>IFERROR(C23/(C23+D23),"")</f>
        <v/>
      </c>
      <c r="I23">
        <f>IFERROR(IF(G23&lt;15,"RESTRUCTURE - weak day, rebook distant stops",IF(H23&gt;0.4,"TIGHTEN - too much windshield time","STRONG - keep route as-is")),"")</f>
        <v/>
      </c>
    </row>
    <row r="24">
      <c r="C24">
        <f>IFERROR(SUMIF('Customer Profitability'!$C:$C,A24,'Customer Profitability'!$F:$F),"")</f>
        <v/>
      </c>
      <c r="D24">
        <f>IFERROR(SUMIF('Customer Profitability'!$C:$C,A24,'Customer Profitability'!$G:$G),"")</f>
        <v/>
      </c>
      <c r="E24">
        <f>IFERROR(SUMPRODUCT(('Customer Profitability'!$C$2:$C$500=A24)*'Customer Profitability'!$D$2:$D$500*'Customer Profitability'!$E$2:$E$500),"")</f>
        <v/>
      </c>
      <c r="F24">
        <f>IFERROR(SUMIF('Customer Profitability'!$C:$C,A24,'Customer Profitability'!$N:$N),"")</f>
        <v/>
      </c>
      <c r="G24">
        <f>IFERROR(AVERAGEIF('Customer Profitability'!$C:$C,A24,'Customer Profitability'!$L:$L),"")</f>
        <v/>
      </c>
      <c r="H24">
        <f>IFERROR(C24/(C24+D24),"")</f>
        <v/>
      </c>
      <c r="I24">
        <f>IFERROR(IF(G24&lt;15,"RESTRUCTURE - weak day, rebook distant stops",IF(H24&gt;0.4,"TIGHTEN - too much windshield time","STRONG - keep route as-is")),"")</f>
        <v/>
      </c>
    </row>
  </sheetData>
  <mergeCells count="1">
    <mergeCell ref="A1:I3"/>
  </mergeCells>
  <conditionalFormatting sqref="G6:G24">
    <cfRule type="cellIs" priority="1" operator="lessThan" dxfId="0">
      <formula>15</formula>
    </cfRule>
    <cfRule type="cellIs" priority="2" operator="greaterThan" dxfId="2">
      <formula>35</formula>
    </cfRule>
  </conditionalFormatting>
  <conditionalFormatting sqref="H6:H24">
    <cfRule type="cellIs" priority="3" operator="greaterThan" dxfId="0">
      <formula>0.4</formula>
    </cfRule>
    <cfRule type="cellIs" priority="4" operator="lessThan" dxfId="2">
      <formula>0.2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AI INSIGHT SUMMARY:
Customer #14 generates only $12 profit per visit after drive time vs. your $38 average -- raise their rate at next renewal or drop the route. Your bottom 5 customers are draining $310/month in unrecovered labor and windshield time, more than offsetting your top 3 earners. Friday's route is your weakest day at $19 profit/visit because two distant low-rate accounts pull the whole schedule down -- consider rebooking them onto Tuesday's cluster. Overall fleet-wide profit per visit is healthy at $34, but 6 of 24 customers are below your true break-even visit cost.</t>
        </is>
      </c>
    </row>
    <row r="2"/>
    <row r="3"/>
    <row r="4"/>
    <row r="5">
      <c r="A5" s="2" t="inlineStr">
        <is>
          <t>Setting Name</t>
        </is>
      </c>
      <c r="B5" s="2" t="inlineStr">
        <is>
          <t>Value</t>
        </is>
      </c>
      <c r="C5" s="2" t="inlineStr">
        <is>
          <t>Status</t>
        </is>
      </c>
    </row>
    <row r="6">
      <c r="A6" t="inlineStr">
        <is>
          <t>Default Hourly Labor Cost</t>
        </is>
      </c>
      <c r="B6" t="n">
        <v>28</v>
      </c>
      <c r="C6">
        <f>IFERROR(IF(B6&lt;=0,"FIX - must be greater than 0","OK"),"")</f>
        <v/>
      </c>
    </row>
    <row r="7">
      <c r="A7" t="inlineStr">
        <is>
          <t>Vehicle Cost Per Drive Minute</t>
        </is>
      </c>
      <c r="B7" t="n">
        <v>0.45</v>
      </c>
      <c r="C7">
        <f>IFERROR(IF(B7&lt;=0,"FIX - must be greater than 0","OK"),"")</f>
        <v/>
      </c>
    </row>
    <row r="8">
      <c r="A8" t="inlineStr">
        <is>
          <t>Target Profit Per Visit</t>
        </is>
      </c>
      <c r="B8" t="n">
        <v>35</v>
      </c>
      <c r="C8">
        <f>IFERROR(IF(B8&lt;=0,"FIX - must be greater than 0","OK"),"")</f>
        <v/>
      </c>
    </row>
    <row r="9">
      <c r="A9" t="inlineStr">
        <is>
          <t>Renegotiate Threshold Per Visit</t>
        </is>
      </c>
      <c r="B9" t="n">
        <v>20</v>
      </c>
      <c r="C9">
        <f>IFERROR(IF(B9&lt;=0,"FIX - must be greater than 0","OK"),"")</f>
        <v/>
      </c>
    </row>
    <row r="10">
      <c r="A10" t="inlineStr">
        <is>
          <t>Minimum Acceptable Profit Per Hour</t>
        </is>
      </c>
      <c r="B10" t="n">
        <v>25</v>
      </c>
      <c r="C10">
        <f>IFERROR(IF(B10&lt;=0,"FIX - must be greater than 0","OK"),"")</f>
        <v/>
      </c>
    </row>
    <row r="11">
      <c r="C11">
        <f>IFERROR(IF(B11&lt;=0,"FIX - must be greater than 0","OK"),"")</f>
        <v/>
      </c>
    </row>
    <row r="12">
      <c r="C12">
        <f>IFERROR(IF(B12&lt;=0,"FIX - must be greater than 0","OK"),"")</f>
        <v/>
      </c>
    </row>
    <row r="13">
      <c r="C13">
        <f>IFERROR(IF(B13&lt;=0,"FIX - must be greater than 0","OK"),"")</f>
        <v/>
      </c>
    </row>
    <row r="14">
      <c r="C14">
        <f>IFERROR(IF(B14&lt;=0,"FIX - must be greater than 0","OK"),"")</f>
        <v/>
      </c>
    </row>
    <row r="15">
      <c r="C15">
        <f>IFERROR(IF(B15&lt;=0,"FIX - must be greater than 0","OK"),"")</f>
        <v/>
      </c>
    </row>
    <row r="16">
      <c r="C16">
        <f>IFERROR(IF(B16&lt;=0,"FIX - must be greater than 0","OK"),"")</f>
        <v/>
      </c>
    </row>
    <row r="17">
      <c r="C17">
        <f>IFERROR(IF(B17&lt;=0,"FIX - must be greater than 0","OK"),"")</f>
        <v/>
      </c>
    </row>
    <row r="18">
      <c r="C18">
        <f>IFERROR(IF(B18&lt;=0,"FIX - must be greater than 0","OK"),"")</f>
        <v/>
      </c>
    </row>
    <row r="19">
      <c r="C19">
        <f>IFERROR(IF(B19&lt;=0,"FIX - must be greater than 0","OK"),"")</f>
        <v/>
      </c>
    </row>
    <row r="20">
      <c r="C20">
        <f>IFERROR(IF(B20&lt;=0,"FIX - must be greater than 0","OK"),"")</f>
        <v/>
      </c>
    </row>
    <row r="21">
      <c r="C21">
        <f>IFERROR(IF(B21&lt;=0,"FIX - must be greater than 0","OK"),"")</f>
        <v/>
      </c>
    </row>
    <row r="22">
      <c r="C22">
        <f>IFERROR(IF(B22&lt;=0,"FIX - must be greater than 0","OK"),"")</f>
        <v/>
      </c>
    </row>
    <row r="23">
      <c r="C23">
        <f>IFERROR(IF(B23&lt;=0,"FIX - must be greater than 0","OK"),"")</f>
        <v/>
      </c>
    </row>
    <row r="24">
      <c r="C24">
        <f>IFERROR(IF(B24&lt;=0,"FIX - must be greater than 0","OK"),"")</f>
        <v/>
      </c>
    </row>
    <row r="25">
      <c r="C25">
        <f>IFERROR(IF(B25&lt;=0,"FIX - must be greater than 0","OK"),"")</f>
        <v/>
      </c>
    </row>
  </sheetData>
  <mergeCells count="1">
    <mergeCell ref="A1:C3"/>
  </mergeCells>
  <conditionalFormatting sqref="B6:B25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2026-06-29T02:57:01Z</dcterms:created>
  <dcterms:modified xsi:type="dcterms:W3CDTF">2026-06-29T03:44:05Z</dcterms:modified>
</cp:coreProperties>
</file>