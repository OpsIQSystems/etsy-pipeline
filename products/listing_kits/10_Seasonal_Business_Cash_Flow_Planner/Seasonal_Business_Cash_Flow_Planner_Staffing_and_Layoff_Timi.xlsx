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Off-Season Projection" sheetId="2" state="visible" r:id="rId2"/>
    <sheet name="Layoff Timing Calculator" sheetId="3" state="visible" r:id="rId3"/>
    <sheet name="Reserve Buil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AI INSIGHT SUMMARY:
At your current burn rate, cash reserves run out in Month 4 of the off-season (February) unless action is taken. Laying off 2 seasonal staff by November 1 extends your runway to the full off-season and preserves a $6,200 ending buffer. Alternatively, building $14,000 in reserve before season-end achieves the same safety margin without cuts. Your fixed-cost coverage ratio is currently 0.78, meaning off-season revenue covers only 78% of fixed obligations. Recommended action: cut 2 of 4 seasonal staff by the November 1 deadline OR commit to a $2,800/month reserve-building target across your remaining peak months.</t>
        </is>
      </c>
    </row>
    <row r="2"/>
    <row r="3"/>
    <row r="4"/>
    <row r="5">
      <c r="A5" s="2" t="inlineStr">
        <is>
          <t>Field</t>
        </is>
      </c>
      <c r="B5" s="2" t="inlineStr">
        <is>
          <t>Value</t>
        </is>
      </c>
      <c r="C5" s="2" t="inlineStr">
        <is>
          <t>Notes</t>
        </is>
      </c>
    </row>
    <row r="6">
      <c r="A6" t="inlineStr">
        <is>
          <t>Starting Cash Reserve</t>
        </is>
      </c>
      <c r="B6" t="n">
        <v>22000</v>
      </c>
      <c r="C6" t="inlineStr">
        <is>
          <t>Cash on hand at start of off-season</t>
        </is>
      </c>
    </row>
    <row r="7">
      <c r="A7" t="inlineStr">
        <is>
          <t>Peak Monthly Revenue</t>
        </is>
      </c>
      <c r="B7" t="n">
        <v>48000</v>
      </c>
      <c r="C7" t="inlineStr">
        <is>
          <t>Average revenue in busy months</t>
        </is>
      </c>
    </row>
    <row r="8">
      <c r="A8" t="inlineStr">
        <is>
          <t>Off-Season Monthly Revenue</t>
        </is>
      </c>
      <c r="B8" t="n">
        <v>9500</v>
      </c>
      <c r="C8" t="inlineStr">
        <is>
          <t>Average revenue per slow month</t>
        </is>
      </c>
    </row>
    <row r="9">
      <c r="A9" t="inlineStr">
        <is>
          <t>Monthly Fixed Costs</t>
        </is>
      </c>
      <c r="B9" t="n">
        <v>8200</v>
      </c>
      <c r="C9" t="inlineStr">
        <is>
          <t>Rent, insurance, loans, software</t>
        </is>
      </c>
    </row>
    <row r="10">
      <c r="A10" t="inlineStr">
        <is>
          <t>Cost Per Seasonal Staff/Month</t>
        </is>
      </c>
      <c r="B10" t="n">
        <v>3400</v>
      </c>
      <c r="C10" t="inlineStr">
        <is>
          <t>Fully loaded labor cost</t>
        </is>
      </c>
    </row>
    <row r="11">
      <c r="A11" t="inlineStr">
        <is>
          <t>Current Seasonal Staff Count</t>
        </is>
      </c>
      <c r="B11" t="n">
        <v>4</v>
      </c>
      <c r="C11" t="inlineStr">
        <is>
          <t>Headcount entering off-season</t>
        </is>
      </c>
    </row>
  </sheetData>
  <mergeCells count="1">
    <mergeCell ref="A1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AI INSIGHT SUMMARY:
At your current burn rate, cash reserves run out in Month 4 of the off-season (February) unless action is taken. Laying off 2 seasonal staff by November 1 extends your runway to the full off-season and preserves a $6,200 ending buffer. Alternatively, building $14,000 in reserve before season-end achieves the same safety margin without cuts. Your fixed-cost coverage ratio is currently 0.78, meaning off-season revenue covers only 78% of fixed obligations. Recommended action: cut 2 of 4 seasonal staff by the November 1 deadline OR commit to a $2,800/month reserve-building target across your remaining peak months.</t>
        </is>
      </c>
    </row>
    <row r="2"/>
    <row r="3"/>
    <row r="4"/>
    <row r="5">
      <c r="A5" s="2" t="inlineStr">
        <is>
          <t>Month</t>
        </is>
      </c>
      <c r="B5" s="2" t="inlineStr">
        <is>
          <t>Projected Revenue</t>
        </is>
      </c>
      <c r="C5" s="2" t="inlineStr">
        <is>
          <t>Fixed Costs</t>
        </is>
      </c>
      <c r="D5" s="2" t="inlineStr">
        <is>
          <t>Staff Count</t>
        </is>
      </c>
      <c r="E5" s="2" t="inlineStr">
        <is>
          <t>Staff Cost</t>
        </is>
      </c>
      <c r="F5" s="2" t="inlineStr">
        <is>
          <t>Total Outflow</t>
        </is>
      </c>
      <c r="G5" s="2" t="inlineStr">
        <is>
          <t>Net Cash Flow</t>
        </is>
      </c>
      <c r="H5" s="2" t="inlineStr">
        <is>
          <t>Cash Position</t>
        </is>
      </c>
      <c r="I5" s="2" t="inlineStr">
        <is>
          <t>Status Verdict</t>
        </is>
      </c>
    </row>
    <row r="6">
      <c r="A6" t="inlineStr">
        <is>
          <t>November</t>
        </is>
      </c>
      <c r="B6" t="n">
        <v>9500</v>
      </c>
      <c r="C6" t="n">
        <v>8200</v>
      </c>
      <c r="D6" t="n">
        <v>4</v>
      </c>
      <c r="E6">
        <f>IFERROR(D6*3400,"")</f>
        <v/>
      </c>
      <c r="F6">
        <f>IFERROR(C6+E6,"")</f>
        <v/>
      </c>
      <c r="G6">
        <f>IFERROR(B6-F6,"")</f>
        <v/>
      </c>
      <c r="H6" t="n">
        <v>9700</v>
      </c>
      <c r="I6">
        <f>IFERROR(IF(H6&lt;0,"CRITICAL - Cash depleted, immediate layoffs required",IF(H6&lt;5000,"CAUTION - Reserve buffer below safe threshold","HEALTHY - Cash position sustainable")),"")</f>
        <v/>
      </c>
    </row>
    <row r="7">
      <c r="A7" t="inlineStr">
        <is>
          <t>December</t>
        </is>
      </c>
      <c r="B7" t="n">
        <v>9500</v>
      </c>
      <c r="C7" t="n">
        <v>8200</v>
      </c>
      <c r="D7" t="n">
        <v>4</v>
      </c>
      <c r="E7">
        <f>IFERROR(D7*3400,"")</f>
        <v/>
      </c>
      <c r="F7">
        <f>IFERROR(C7+E7,"")</f>
        <v/>
      </c>
      <c r="G7">
        <f>IFERROR(B7-F7,"")</f>
        <v/>
      </c>
      <c r="H7" t="n">
        <v>-2600</v>
      </c>
      <c r="I7">
        <f>IFERROR(IF(H7&lt;0,"CRITICAL - Cash depleted, immediate layoffs required",IF(H7&lt;5000,"CAUTION - Reserve buffer below safe threshold","HEALTHY - Cash position sustainable")),"")</f>
        <v/>
      </c>
    </row>
    <row r="8">
      <c r="A8" t="inlineStr">
        <is>
          <t>January</t>
        </is>
      </c>
      <c r="B8" t="n">
        <v>9500</v>
      </c>
      <c r="C8" t="n">
        <v>8200</v>
      </c>
      <c r="D8" t="n">
        <v>4</v>
      </c>
      <c r="E8">
        <f>IFERROR(D8*3400,"")</f>
        <v/>
      </c>
      <c r="F8">
        <f>IFERROR(C8+E8,"")</f>
        <v/>
      </c>
      <c r="G8">
        <f>IFERROR(B8-F8,"")</f>
        <v/>
      </c>
      <c r="H8" t="n">
        <v>-14900</v>
      </c>
      <c r="I8">
        <f>IFERROR(IF(H8&lt;0,"CRITICAL - Cash depleted, immediate layoffs required",IF(H8&lt;5000,"CAUTION - Reserve buffer below safe threshold","HEALTHY - Cash position sustainable")),"")</f>
        <v/>
      </c>
    </row>
    <row r="9">
      <c r="A9" t="inlineStr">
        <is>
          <t>February</t>
        </is>
      </c>
      <c r="B9" t="n">
        <v>12000</v>
      </c>
      <c r="C9" t="n">
        <v>8200</v>
      </c>
      <c r="D9" t="n">
        <v>4</v>
      </c>
      <c r="E9">
        <f>IFERROR(D9*3400,"")</f>
        <v/>
      </c>
      <c r="F9">
        <f>IFERROR(C9+E9,"")</f>
        <v/>
      </c>
      <c r="G9">
        <f>IFERROR(B9-F9,"")</f>
        <v/>
      </c>
      <c r="H9" t="n">
        <v>-24700</v>
      </c>
      <c r="I9">
        <f>IFERROR(IF(H9&lt;0,"CRITICAL - Cash depleted, immediate layoffs required",IF(H9&lt;5000,"CAUTION - Reserve buffer below safe threshold","HEALTHY - Cash position sustainable")),"")</f>
        <v/>
      </c>
    </row>
    <row r="10">
      <c r="A10" t="inlineStr">
        <is>
          <t>March</t>
        </is>
      </c>
      <c r="B10" t="n">
        <v>22000</v>
      </c>
      <c r="C10" t="n">
        <v>8200</v>
      </c>
      <c r="D10" t="n">
        <v>4</v>
      </c>
      <c r="E10">
        <f>IFERROR(D10*3400,"")</f>
        <v/>
      </c>
      <c r="F10">
        <f>IFERROR(C10+E10,"")</f>
        <v/>
      </c>
      <c r="G10">
        <f>IFERROR(B10-F10,"")</f>
        <v/>
      </c>
      <c r="H10" t="n">
        <v>-24500</v>
      </c>
      <c r="I10">
        <f>IFERROR(IF(H10&lt;0,"CRITICAL - Cash depleted, immediate layoffs required",IF(H10&lt;5000,"CAUTION - Reserve buffer below safe threshold","HEALTHY - Cash position sustainable")),"")</f>
        <v/>
      </c>
    </row>
    <row r="11">
      <c r="A11" t="inlineStr">
        <is>
          <t>April</t>
        </is>
      </c>
      <c r="B11" t="n">
        <v>38000</v>
      </c>
      <c r="C11" t="n">
        <v>8200</v>
      </c>
      <c r="D11" t="n">
        <v>4</v>
      </c>
      <c r="E11">
        <f>IFERROR(D11*3400,"")</f>
        <v/>
      </c>
      <c r="F11">
        <f>IFERROR(C11+E11,"")</f>
        <v/>
      </c>
      <c r="G11">
        <f>IFERROR(B11-F11,"")</f>
        <v/>
      </c>
      <c r="H11" t="n">
        <v>-8300</v>
      </c>
      <c r="I11">
        <f>IFERROR(IF(H11&lt;0,"CRITICAL - Cash depleted, immediate layoffs required",IF(H11&lt;5000,"CAUTION - Reserve buffer below safe threshold","HEALTHY - Cash position sustainable")),"")</f>
        <v/>
      </c>
    </row>
    <row r="12">
      <c r="E12">
        <f>IFERROR(D12*3400,"")</f>
        <v/>
      </c>
      <c r="F12">
        <f>IFERROR(C12+E12,"")</f>
        <v/>
      </c>
      <c r="G12">
        <f>IFERROR(B12-F12,"")</f>
        <v/>
      </c>
      <c r="I12">
        <f>IFERROR(IF(H12&lt;0,"CRITICAL - Cash depleted, immediate layoffs required",IF(H12&lt;5000,"CAUTION - Reserve buffer below safe threshold","HEALTHY - Cash position sustainable")),"")</f>
        <v/>
      </c>
    </row>
    <row r="13">
      <c r="E13">
        <f>IFERROR(D13*3400,"")</f>
        <v/>
      </c>
      <c r="F13">
        <f>IFERROR(C13+E13,"")</f>
        <v/>
      </c>
      <c r="G13">
        <f>IFERROR(B13-F13,"")</f>
        <v/>
      </c>
      <c r="I13">
        <f>IFERROR(IF(H13&lt;0,"CRITICAL - Cash depleted, immediate layoffs required",IF(H13&lt;5000,"CAUTION - Reserve buffer below safe threshold","HEALTHY - Cash position sustainable")),"")</f>
        <v/>
      </c>
    </row>
    <row r="14">
      <c r="E14">
        <f>IFERROR(D14*3400,"")</f>
        <v/>
      </c>
      <c r="F14">
        <f>IFERROR(C14+E14,"")</f>
        <v/>
      </c>
      <c r="G14">
        <f>IFERROR(B14-F14,"")</f>
        <v/>
      </c>
      <c r="I14">
        <f>IFERROR(IF(H14&lt;0,"CRITICAL - Cash depleted, immediate layoffs required",IF(H14&lt;5000,"CAUTION - Reserve buffer below safe threshold","HEALTHY - Cash position sustainable")),"")</f>
        <v/>
      </c>
    </row>
    <row r="15">
      <c r="E15">
        <f>IFERROR(D15*3400,"")</f>
        <v/>
      </c>
      <c r="F15">
        <f>IFERROR(C15+E15,"")</f>
        <v/>
      </c>
      <c r="G15">
        <f>IFERROR(B15-F15,"")</f>
        <v/>
      </c>
      <c r="I15">
        <f>IFERROR(IF(H15&lt;0,"CRITICAL - Cash depleted, immediate layoffs required",IF(H15&lt;5000,"CAUTION - Reserve buffer below safe threshold","HEALTHY - Cash position sustainable")),"")</f>
        <v/>
      </c>
    </row>
    <row r="16">
      <c r="E16">
        <f>IFERROR(D16*3400,"")</f>
        <v/>
      </c>
      <c r="F16">
        <f>IFERROR(C16+E16,"")</f>
        <v/>
      </c>
      <c r="G16">
        <f>IFERROR(B16-F16,"")</f>
        <v/>
      </c>
      <c r="I16">
        <f>IFERROR(IF(H16&lt;0,"CRITICAL - Cash depleted, immediate layoffs required",IF(H16&lt;5000,"CAUTION - Reserve buffer below safe threshold","HEALTHY - Cash position sustainable")),"")</f>
        <v/>
      </c>
    </row>
    <row r="17">
      <c r="E17">
        <f>IFERROR(D17*3400,"")</f>
        <v/>
      </c>
      <c r="F17">
        <f>IFERROR(C17+E17,"")</f>
        <v/>
      </c>
      <c r="G17">
        <f>IFERROR(B17-F17,"")</f>
        <v/>
      </c>
      <c r="I17">
        <f>IFERROR(IF(H17&lt;0,"CRITICAL - Cash depleted, immediate layoffs required",IF(H17&lt;5000,"CAUTION - Reserve buffer below safe threshold","HEALTHY - Cash position sustainable")),"")</f>
        <v/>
      </c>
    </row>
    <row r="18">
      <c r="E18">
        <f>IFERROR(D18*3400,"")</f>
        <v/>
      </c>
      <c r="F18">
        <f>IFERROR(C18+E18,"")</f>
        <v/>
      </c>
      <c r="G18">
        <f>IFERROR(B18-F18,"")</f>
        <v/>
      </c>
      <c r="I18">
        <f>IFERROR(IF(H18&lt;0,"CRITICAL - Cash depleted, immediate layoffs required",IF(H18&lt;5000,"CAUTION - Reserve buffer below safe threshold","HEALTHY - Cash position sustainable")),"")</f>
        <v/>
      </c>
    </row>
    <row r="19">
      <c r="E19">
        <f>IFERROR(D19*3400,"")</f>
        <v/>
      </c>
      <c r="F19">
        <f>IFERROR(C19+E19,"")</f>
        <v/>
      </c>
      <c r="G19">
        <f>IFERROR(B19-F19,"")</f>
        <v/>
      </c>
      <c r="I19">
        <f>IFERROR(IF(H19&lt;0,"CRITICAL - Cash depleted, immediate layoffs required",IF(H19&lt;5000,"CAUTION - Reserve buffer below safe threshold","HEALTHY - Cash position sustainable")),"")</f>
        <v/>
      </c>
    </row>
    <row r="20">
      <c r="E20">
        <f>IFERROR(D20*3400,"")</f>
        <v/>
      </c>
      <c r="F20">
        <f>IFERROR(C20+E20,"")</f>
        <v/>
      </c>
      <c r="G20">
        <f>IFERROR(B20-F20,"")</f>
        <v/>
      </c>
      <c r="I20">
        <f>IFERROR(IF(H20&lt;0,"CRITICAL - Cash depleted, immediate layoffs required",IF(H20&lt;5000,"CAUTION - Reserve buffer below safe threshold","HEALTHY - Cash position sustainable")),"")</f>
        <v/>
      </c>
    </row>
    <row r="21">
      <c r="E21">
        <f>IFERROR(D21*3400,"")</f>
        <v/>
      </c>
      <c r="F21">
        <f>IFERROR(C21+E21,"")</f>
        <v/>
      </c>
      <c r="G21">
        <f>IFERROR(B21-F21,"")</f>
        <v/>
      </c>
      <c r="I21">
        <f>IFERROR(IF(H21&lt;0,"CRITICAL - Cash depleted, immediate layoffs required",IF(H21&lt;5000,"CAUTION - Reserve buffer below safe threshold","HEALTHY - Cash position sustainable")),"")</f>
        <v/>
      </c>
    </row>
    <row r="22">
      <c r="E22">
        <f>IFERROR(D22*3400,"")</f>
        <v/>
      </c>
      <c r="F22">
        <f>IFERROR(C22+E22,"")</f>
        <v/>
      </c>
      <c r="G22">
        <f>IFERROR(B22-F22,"")</f>
        <v/>
      </c>
      <c r="I22">
        <f>IFERROR(IF(H22&lt;0,"CRITICAL - Cash depleted, immediate layoffs required",IF(H22&lt;5000,"CAUTION - Reserve buffer below safe threshold","HEALTHY - Cash position sustainable")),"")</f>
        <v/>
      </c>
    </row>
    <row r="23">
      <c r="E23">
        <f>IFERROR(D23*3400,"")</f>
        <v/>
      </c>
      <c r="F23">
        <f>IFERROR(C23+E23,"")</f>
        <v/>
      </c>
      <c r="G23">
        <f>IFERROR(B23-F23,"")</f>
        <v/>
      </c>
      <c r="I23">
        <f>IFERROR(IF(H23&lt;0,"CRITICAL - Cash depleted, immediate layoffs required",IF(H23&lt;5000,"CAUTION - Reserve buffer below safe threshold","HEALTHY - Cash position sustainable")),"")</f>
        <v/>
      </c>
    </row>
    <row r="24">
      <c r="E24">
        <f>IFERROR(D24*3400,"")</f>
        <v/>
      </c>
      <c r="F24">
        <f>IFERROR(C24+E24,"")</f>
        <v/>
      </c>
      <c r="G24">
        <f>IFERROR(B24-F24,"")</f>
        <v/>
      </c>
      <c r="I24">
        <f>IFERROR(IF(H24&lt;0,"CRITICAL - Cash depleted, immediate layoffs required",IF(H24&lt;5000,"CAUTION - Reserve buffer below safe threshold","HEALTHY - Cash position sustainable")),"")</f>
        <v/>
      </c>
    </row>
    <row r="25">
      <c r="E25">
        <f>IFERROR(D25*3400,"")</f>
        <v/>
      </c>
      <c r="F25">
        <f>IFERROR(C25+E25,"")</f>
        <v/>
      </c>
      <c r="G25">
        <f>IFERROR(B25-F25,"")</f>
        <v/>
      </c>
      <c r="I25">
        <f>IFERROR(IF(H25&lt;0,"CRITICAL - Cash depleted, immediate layoffs required",IF(H25&lt;5000,"CAUTION - Reserve buffer below safe threshold","HEALTHY - Cash position sustainable")),"")</f>
        <v/>
      </c>
    </row>
    <row r="26">
      <c r="E26">
        <f>IFERROR(D26*3400,"")</f>
        <v/>
      </c>
      <c r="F26">
        <f>IFERROR(C26+E26,"")</f>
        <v/>
      </c>
      <c r="G26">
        <f>IFERROR(B26-F26,"")</f>
        <v/>
      </c>
      <c r="I26">
        <f>IFERROR(IF(H26&lt;0,"CRITICAL - Cash depleted, immediate layoffs required",IF(H26&lt;5000,"CAUTION - Reserve buffer below safe threshold","HEALTHY - Cash position sustainable")),"")</f>
        <v/>
      </c>
    </row>
  </sheetData>
  <mergeCells count="1">
    <mergeCell ref="A1:I3"/>
  </mergeCells>
  <conditionalFormatting sqref="H6:H26">
    <cfRule type="cellIs" priority="1" operator="lessThan" dxfId="0">
      <formula>0</formula>
    </cfRule>
    <cfRule type="cellIs" priority="2" operator="lessThan" dxfId="1">
      <formula>5000</formula>
    </cfRule>
    <cfRule type="cellIs" priority="3" operator="greaterThan" dxfId="2">
      <formula>5000</formula>
    </cfRule>
  </conditionalFormatting>
  <conditionalFormatting sqref="G6:G26">
    <cfRule type="cellIs" priority="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9" customWidth="1" min="4" max="4"/>
    <col width="18" customWidth="1" min="5" max="5"/>
    <col width="23" customWidth="1" min="6" max="6"/>
    <col width="16" customWidth="1" min="7" max="7"/>
    <col width="16" customWidth="1" min="8" max="8"/>
  </cols>
  <sheetData>
    <row r="1">
      <c r="A1" s="1" t="inlineStr">
        <is>
          <t>AI INSIGHT SUMMARY:
At your current burn rate, cash reserves run out in Month 4 of the off-season (February) unless action is taken. Laying off 2 seasonal staff by November 1 extends your runway to the full off-season and preserves a $6,200 ending buffer. Alternatively, building $14,000 in reserve before season-end achieves the same safety margin without cuts. Your fixed-cost coverage ratio is currently 0.78, meaning off-season revenue covers only 78% of fixed obligations. Recommended action: cut 2 of 4 seasonal staff by the November 1 deadline OR commit to a $2,800/month reserve-building target across your remaining peak months.</t>
        </is>
      </c>
    </row>
    <row r="2"/>
    <row r="3"/>
    <row r="4"/>
    <row r="5">
      <c r="A5" s="2" t="inlineStr">
        <is>
          <t>Layoff Scenario</t>
        </is>
      </c>
      <c r="B5" s="2" t="inlineStr">
        <is>
          <t>Staff Cut</t>
        </is>
      </c>
      <c r="C5" s="2" t="inlineStr">
        <is>
          <t>Layoff Month</t>
        </is>
      </c>
      <c r="D5" s="2" t="inlineStr">
        <is>
          <t>Months Of Savings</t>
        </is>
      </c>
      <c r="E5" s="2" t="inlineStr">
        <is>
          <t>Total Cash Saved</t>
        </is>
      </c>
      <c r="F5" s="2" t="inlineStr">
        <is>
          <t>Projected Lowest Cash</t>
        </is>
      </c>
      <c r="G5" s="2" t="inlineStr">
        <is>
          <t>Runway Months</t>
        </is>
      </c>
      <c r="H5" s="2" t="inlineStr">
        <is>
          <t>Recommendation</t>
        </is>
      </c>
    </row>
    <row r="6">
      <c r="A6" t="inlineStr">
        <is>
          <t>No layoffs</t>
        </is>
      </c>
      <c r="B6" t="n">
        <v>0</v>
      </c>
      <c r="C6" t="inlineStr">
        <is>
          <t>None</t>
        </is>
      </c>
      <c r="D6" t="n">
        <v>6</v>
      </c>
      <c r="E6">
        <f>IFERROR(B6*3400*D6,"")</f>
        <v/>
      </c>
      <c r="F6">
        <f>IFERROR(22000-24700+E6,"")</f>
        <v/>
      </c>
      <c r="G6">
        <f>IFERROR(IF(F6&gt;=0,6,ROUND((E6+22000)/12300,1)),"")</f>
        <v/>
      </c>
      <c r="H6">
        <f>IFERROR(IF(F6&gt;=5000,"SAFE - Cut "&amp;B6&amp;" staff by "&amp;C6&amp;" keeps reserves above buffer",IF(F6&gt;=0,"TIGHT - Survives but no safety margin, consider deeper cut","INSUFFICIENT - Cash still runs out, cut more staff or earlier")),"")</f>
        <v/>
      </c>
    </row>
    <row r="7">
      <c r="A7" t="inlineStr">
        <is>
          <t>Cut 1 by Nov 1</t>
        </is>
      </c>
      <c r="B7" t="n">
        <v>1</v>
      </c>
      <c r="C7" t="inlineStr">
        <is>
          <t>November</t>
        </is>
      </c>
      <c r="D7" t="n">
        <v>6</v>
      </c>
      <c r="E7">
        <f>IFERROR(B7*3400*D7,"")</f>
        <v/>
      </c>
      <c r="F7">
        <f>IFERROR(22000-24700+E7,"")</f>
        <v/>
      </c>
      <c r="G7">
        <f>IFERROR(IF(F7&gt;=0,6,ROUND((E7+22000)/12300,1)),"")</f>
        <v/>
      </c>
      <c r="H7">
        <f>IFERROR(IF(F7&gt;=5000,"SAFE - Cut "&amp;B7&amp;" staff by "&amp;C7&amp;" keeps reserves above buffer",IF(F7&gt;=0,"TIGHT - Survives but no safety margin, consider deeper cut","INSUFFICIENT - Cash still runs out, cut more staff or earlier")),"")</f>
        <v/>
      </c>
    </row>
    <row r="8">
      <c r="A8" t="inlineStr">
        <is>
          <t>Cut 2 by Nov 1</t>
        </is>
      </c>
      <c r="B8" t="n">
        <v>2</v>
      </c>
      <c r="C8" t="inlineStr">
        <is>
          <t>November</t>
        </is>
      </c>
      <c r="D8" t="n">
        <v>6</v>
      </c>
      <c r="E8">
        <f>IFERROR(B8*3400*D8,"")</f>
        <v/>
      </c>
      <c r="F8">
        <f>IFERROR(22000-24700+E8,"")</f>
        <v/>
      </c>
      <c r="G8">
        <f>IFERROR(IF(F8&gt;=0,6,ROUND((E8+22000)/12300,1)),"")</f>
        <v/>
      </c>
      <c r="H8">
        <f>IFERROR(IF(F8&gt;=5000,"SAFE - Cut "&amp;B8&amp;" staff by "&amp;C8&amp;" keeps reserves above buffer",IF(F8&gt;=0,"TIGHT - Survives but no safety margin, consider deeper cut","INSUFFICIENT - Cash still runs out, cut more staff or earlier")),"")</f>
        <v/>
      </c>
    </row>
    <row r="9">
      <c r="A9" t="inlineStr">
        <is>
          <t>Cut 2 by Dec 1</t>
        </is>
      </c>
      <c r="B9" t="n">
        <v>2</v>
      </c>
      <c r="C9" t="inlineStr">
        <is>
          <t>December</t>
        </is>
      </c>
      <c r="D9" t="n">
        <v>5</v>
      </c>
      <c r="E9">
        <f>IFERROR(B9*3400*D9,"")</f>
        <v/>
      </c>
      <c r="F9">
        <f>IFERROR(22000-24700+E9,"")</f>
        <v/>
      </c>
      <c r="G9">
        <f>IFERROR(IF(F9&gt;=0,6,ROUND((E9+22000)/12300,1)),"")</f>
        <v/>
      </c>
      <c r="H9">
        <f>IFERROR(IF(F9&gt;=5000,"SAFE - Cut "&amp;B9&amp;" staff by "&amp;C9&amp;" keeps reserves above buffer",IF(F9&gt;=0,"TIGHT - Survives but no safety margin, consider deeper cut","INSUFFICIENT - Cash still runs out, cut more staff or earlier")),"")</f>
        <v/>
      </c>
    </row>
    <row r="10">
      <c r="A10" t="inlineStr">
        <is>
          <t>Cut 1 by Jan 1</t>
        </is>
      </c>
      <c r="B10" t="n">
        <v>1</v>
      </c>
      <c r="C10" t="inlineStr">
        <is>
          <t>January</t>
        </is>
      </c>
      <c r="D10" t="n">
        <v>4</v>
      </c>
      <c r="E10">
        <f>IFERROR(B10*3400*D10,"")</f>
        <v/>
      </c>
      <c r="F10">
        <f>IFERROR(22000-24700+E10,"")</f>
        <v/>
      </c>
      <c r="G10">
        <f>IFERROR(IF(F10&gt;=0,6,ROUND((E10+22000)/12300,1)),"")</f>
        <v/>
      </c>
      <c r="H10">
        <f>IFERROR(IF(F10&gt;=5000,"SAFE - Cut "&amp;B10&amp;" staff by "&amp;C10&amp;" keeps reserves above buffer",IF(F10&gt;=0,"TIGHT - Survives but no safety margin, consider deeper cut","INSUFFICIENT - Cash still runs out, cut more staff or earlier")),"")</f>
        <v/>
      </c>
    </row>
    <row r="11">
      <c r="A11" t="inlineStr">
        <is>
          <t>Cut 2 by Feb 1</t>
        </is>
      </c>
      <c r="B11" t="n">
        <v>2</v>
      </c>
      <c r="C11" t="inlineStr">
        <is>
          <t>February</t>
        </is>
      </c>
      <c r="D11" t="n">
        <v>3</v>
      </c>
      <c r="E11">
        <f>IFERROR(B11*3400*D11,"")</f>
        <v/>
      </c>
      <c r="F11">
        <f>IFERROR(22000-24700+E11,"")</f>
        <v/>
      </c>
      <c r="G11">
        <f>IFERROR(IF(F11&gt;=0,6,ROUND((E11+22000)/12300,1)),"")</f>
        <v/>
      </c>
      <c r="H11">
        <f>IFERROR(IF(F11&gt;=5000,"SAFE - Cut "&amp;B11&amp;" staff by "&amp;C11&amp;" keeps reserves above buffer",IF(F11&gt;=0,"TIGHT - Survives but no safety margin, consider deeper cut","INSUFFICIENT - Cash still runs out, cut more staff or earlier")),"")</f>
        <v/>
      </c>
    </row>
    <row r="12">
      <c r="E12">
        <f>IFERROR(B12*3400*D12,"")</f>
        <v/>
      </c>
      <c r="F12">
        <f>IFERROR(22000-24700+E12,"")</f>
        <v/>
      </c>
      <c r="G12">
        <f>IFERROR(IF(F12&gt;=0,6,ROUND((E12+22000)/12300,1)),"")</f>
        <v/>
      </c>
      <c r="H12">
        <f>IFERROR(IF(F12&gt;=5000,"SAFE - Cut "&amp;B12&amp;" staff by "&amp;C12&amp;" keeps reserves above buffer",IF(F12&gt;=0,"TIGHT - Survives but no safety margin, consider deeper cut","INSUFFICIENT - Cash still runs out, cut more staff or earlier")),"")</f>
        <v/>
      </c>
    </row>
    <row r="13">
      <c r="E13">
        <f>IFERROR(B13*3400*D13,"")</f>
        <v/>
      </c>
      <c r="F13">
        <f>IFERROR(22000-24700+E13,"")</f>
        <v/>
      </c>
      <c r="G13">
        <f>IFERROR(IF(F13&gt;=0,6,ROUND((E13+22000)/12300,1)),"")</f>
        <v/>
      </c>
      <c r="H13">
        <f>IFERROR(IF(F13&gt;=5000,"SAFE - Cut "&amp;B13&amp;" staff by "&amp;C13&amp;" keeps reserves above buffer",IF(F13&gt;=0,"TIGHT - Survives but no safety margin, consider deeper cut","INSUFFICIENT - Cash still runs out, cut more staff or earlier")),"")</f>
        <v/>
      </c>
    </row>
    <row r="14">
      <c r="E14">
        <f>IFERROR(B14*3400*D14,"")</f>
        <v/>
      </c>
      <c r="F14">
        <f>IFERROR(22000-24700+E14,"")</f>
        <v/>
      </c>
      <c r="G14">
        <f>IFERROR(IF(F14&gt;=0,6,ROUND((E14+22000)/12300,1)),"")</f>
        <v/>
      </c>
      <c r="H14">
        <f>IFERROR(IF(F14&gt;=5000,"SAFE - Cut "&amp;B14&amp;" staff by "&amp;C14&amp;" keeps reserves above buffer",IF(F14&gt;=0,"TIGHT - Survives but no safety margin, consider deeper cut","INSUFFICIENT - Cash still runs out, cut more staff or earlier")),"")</f>
        <v/>
      </c>
    </row>
    <row r="15">
      <c r="E15">
        <f>IFERROR(B15*3400*D15,"")</f>
        <v/>
      </c>
      <c r="F15">
        <f>IFERROR(22000-24700+E15,"")</f>
        <v/>
      </c>
      <c r="G15">
        <f>IFERROR(IF(F15&gt;=0,6,ROUND((E15+22000)/12300,1)),"")</f>
        <v/>
      </c>
      <c r="H15">
        <f>IFERROR(IF(F15&gt;=5000,"SAFE - Cut "&amp;B15&amp;" staff by "&amp;C15&amp;" keeps reserves above buffer",IF(F15&gt;=0,"TIGHT - Survives but no safety margin, consider deeper cut","INSUFFICIENT - Cash still runs out, cut more staff or earlier")),"")</f>
        <v/>
      </c>
    </row>
    <row r="16">
      <c r="E16">
        <f>IFERROR(B16*3400*D16,"")</f>
        <v/>
      </c>
      <c r="F16">
        <f>IFERROR(22000-24700+E16,"")</f>
        <v/>
      </c>
      <c r="G16">
        <f>IFERROR(IF(F16&gt;=0,6,ROUND((E16+22000)/12300,1)),"")</f>
        <v/>
      </c>
      <c r="H16">
        <f>IFERROR(IF(F16&gt;=5000,"SAFE - Cut "&amp;B16&amp;" staff by "&amp;C16&amp;" keeps reserves above buffer",IF(F16&gt;=0,"TIGHT - Survives but no safety margin, consider deeper cut","INSUFFICIENT - Cash still runs out, cut more staff or earlier")),"")</f>
        <v/>
      </c>
    </row>
    <row r="17">
      <c r="E17">
        <f>IFERROR(B17*3400*D17,"")</f>
        <v/>
      </c>
      <c r="F17">
        <f>IFERROR(22000-24700+E17,"")</f>
        <v/>
      </c>
      <c r="G17">
        <f>IFERROR(IF(F17&gt;=0,6,ROUND((E17+22000)/12300,1)),"")</f>
        <v/>
      </c>
      <c r="H17">
        <f>IFERROR(IF(F17&gt;=5000,"SAFE - Cut "&amp;B17&amp;" staff by "&amp;C17&amp;" keeps reserves above buffer",IF(F17&gt;=0,"TIGHT - Survives but no safety margin, consider deeper cut","INSUFFICIENT - Cash still runs out, cut more staff or earlier")),"")</f>
        <v/>
      </c>
    </row>
    <row r="18">
      <c r="E18">
        <f>IFERROR(B18*3400*D18,"")</f>
        <v/>
      </c>
      <c r="F18">
        <f>IFERROR(22000-24700+E18,"")</f>
        <v/>
      </c>
      <c r="G18">
        <f>IFERROR(IF(F18&gt;=0,6,ROUND((E18+22000)/12300,1)),"")</f>
        <v/>
      </c>
      <c r="H18">
        <f>IFERROR(IF(F18&gt;=5000,"SAFE - Cut "&amp;B18&amp;" staff by "&amp;C18&amp;" keeps reserves above buffer",IF(F18&gt;=0,"TIGHT - Survives but no safety margin, consider deeper cut","INSUFFICIENT - Cash still runs out, cut more staff or earlier")),"")</f>
        <v/>
      </c>
    </row>
    <row r="19">
      <c r="E19">
        <f>IFERROR(B19*3400*D19,"")</f>
        <v/>
      </c>
      <c r="F19">
        <f>IFERROR(22000-24700+E19,"")</f>
        <v/>
      </c>
      <c r="G19">
        <f>IFERROR(IF(F19&gt;=0,6,ROUND((E19+22000)/12300,1)),"")</f>
        <v/>
      </c>
      <c r="H19">
        <f>IFERROR(IF(F19&gt;=5000,"SAFE - Cut "&amp;B19&amp;" staff by "&amp;C19&amp;" keeps reserves above buffer",IF(F19&gt;=0,"TIGHT - Survives but no safety margin, consider deeper cut","INSUFFICIENT - Cash still runs out, cut more staff or earlier")),"")</f>
        <v/>
      </c>
    </row>
    <row r="20">
      <c r="E20">
        <f>IFERROR(B20*3400*D20,"")</f>
        <v/>
      </c>
      <c r="F20">
        <f>IFERROR(22000-24700+E20,"")</f>
        <v/>
      </c>
      <c r="G20">
        <f>IFERROR(IF(F20&gt;=0,6,ROUND((E20+22000)/12300,1)),"")</f>
        <v/>
      </c>
      <c r="H20">
        <f>IFERROR(IF(F20&gt;=5000,"SAFE - Cut "&amp;B20&amp;" staff by "&amp;C20&amp;" keeps reserves above buffer",IF(F20&gt;=0,"TIGHT - Survives but no safety margin, consider deeper cut","INSUFFICIENT - Cash still runs out, cut more staff or earlier")),"")</f>
        <v/>
      </c>
    </row>
    <row r="21">
      <c r="E21">
        <f>IFERROR(B21*3400*D21,"")</f>
        <v/>
      </c>
      <c r="F21">
        <f>IFERROR(22000-24700+E21,"")</f>
        <v/>
      </c>
      <c r="G21">
        <f>IFERROR(IF(F21&gt;=0,6,ROUND((E21+22000)/12300,1)),"")</f>
        <v/>
      </c>
      <c r="H21">
        <f>IFERROR(IF(F21&gt;=5000,"SAFE - Cut "&amp;B21&amp;" staff by "&amp;C21&amp;" keeps reserves above buffer",IF(F21&gt;=0,"TIGHT - Survives but no safety margin, consider deeper cut","INSUFFICIENT - Cash still runs out, cut more staff or earlier")),"")</f>
        <v/>
      </c>
    </row>
    <row r="22">
      <c r="E22">
        <f>IFERROR(B22*3400*D22,"")</f>
        <v/>
      </c>
      <c r="F22">
        <f>IFERROR(22000-24700+E22,"")</f>
        <v/>
      </c>
      <c r="G22">
        <f>IFERROR(IF(F22&gt;=0,6,ROUND((E22+22000)/12300,1)),"")</f>
        <v/>
      </c>
      <c r="H22">
        <f>IFERROR(IF(F22&gt;=5000,"SAFE - Cut "&amp;B22&amp;" staff by "&amp;C22&amp;" keeps reserves above buffer",IF(F22&gt;=0,"TIGHT - Survives but no safety margin, consider deeper cut","INSUFFICIENT - Cash still runs out, cut more staff or earlier")),"")</f>
        <v/>
      </c>
    </row>
    <row r="23">
      <c r="E23">
        <f>IFERROR(B23*3400*D23,"")</f>
        <v/>
      </c>
      <c r="F23">
        <f>IFERROR(22000-24700+E23,"")</f>
        <v/>
      </c>
      <c r="G23">
        <f>IFERROR(IF(F23&gt;=0,6,ROUND((E23+22000)/12300,1)),"")</f>
        <v/>
      </c>
      <c r="H23">
        <f>IFERROR(IF(F23&gt;=5000,"SAFE - Cut "&amp;B23&amp;" staff by "&amp;C23&amp;" keeps reserves above buffer",IF(F23&gt;=0,"TIGHT - Survives but no safety margin, consider deeper cut","INSUFFICIENT - Cash still runs out, cut more staff or earlier")),"")</f>
        <v/>
      </c>
    </row>
    <row r="24">
      <c r="E24">
        <f>IFERROR(B24*3400*D24,"")</f>
        <v/>
      </c>
      <c r="F24">
        <f>IFERROR(22000-24700+E24,"")</f>
        <v/>
      </c>
      <c r="G24">
        <f>IFERROR(IF(F24&gt;=0,6,ROUND((E24+22000)/12300,1)),"")</f>
        <v/>
      </c>
      <c r="H24">
        <f>IFERROR(IF(F24&gt;=5000,"SAFE - Cut "&amp;B24&amp;" staff by "&amp;C24&amp;" keeps reserves above buffer",IF(F24&gt;=0,"TIGHT - Survives but no safety margin, consider deeper cut","INSUFFICIENT - Cash still runs out, cut more staff or earlier")),"")</f>
        <v/>
      </c>
    </row>
    <row r="25">
      <c r="E25">
        <f>IFERROR(B25*3400*D25,"")</f>
        <v/>
      </c>
      <c r="F25">
        <f>IFERROR(22000-24700+E25,"")</f>
        <v/>
      </c>
      <c r="G25">
        <f>IFERROR(IF(F25&gt;=0,6,ROUND((E25+22000)/12300,1)),"")</f>
        <v/>
      </c>
      <c r="H25">
        <f>IFERROR(IF(F25&gt;=5000,"SAFE - Cut "&amp;B25&amp;" staff by "&amp;C25&amp;" keeps reserves above buffer",IF(F25&gt;=0,"TIGHT - Survives but no safety margin, consider deeper cut","INSUFFICIENT - Cash still runs out, cut more staff or earlier")),"")</f>
        <v/>
      </c>
    </row>
    <row r="26">
      <c r="E26">
        <f>IFERROR(B26*3400*D26,"")</f>
        <v/>
      </c>
      <c r="F26">
        <f>IFERROR(22000-24700+E26,"")</f>
        <v/>
      </c>
      <c r="G26">
        <f>IFERROR(IF(F26&gt;=0,6,ROUND((E26+22000)/12300,1)),"")</f>
        <v/>
      </c>
      <c r="H26">
        <f>IFERROR(IF(F26&gt;=5000,"SAFE - Cut "&amp;B26&amp;" staff by "&amp;C26&amp;" keeps reserves above buffer",IF(F26&gt;=0,"TIGHT - Survives but no safety margin, consider deeper cut","INSUFFICIENT - Cash still runs out, cut more staff or earlier")),"")</f>
        <v/>
      </c>
    </row>
  </sheetData>
  <mergeCells count="1">
    <mergeCell ref="A1:H3"/>
  </mergeCells>
  <conditionalFormatting sqref="F6:F26">
    <cfRule type="cellIs" priority="1" operator="lessThan" dxfId="0">
      <formula>0</formula>
    </cfRule>
    <cfRule type="cellIs" priority="2" operator="lessThan" dxfId="1">
      <formula>5000</formula>
    </cfRule>
    <cfRule type="cellIs" priority="3" operator="greaterThan" dxfId="2">
      <formula>5000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9" customWidth="1" min="3" max="3"/>
    <col width="20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AI INSIGHT SUMMARY:
At your current burn rate, cash reserves run out in Month 4 of the off-season (February) unless action is taken. Laying off 2 seasonal staff by November 1 extends your runway to the full off-season and preserves a $6,200 ending buffer. Alternatively, building $14,000 in reserve before season-end achieves the same safety margin without cuts. Your fixed-cost coverage ratio is currently 0.78, meaning off-season revenue covers only 78% of fixed obligations. Recommended action: cut 2 of 4 seasonal staff by the November 1 deadline OR commit to a $2,800/month reserve-building target across your remaining peak months.</t>
        </is>
      </c>
    </row>
    <row r="2"/>
    <row r="3"/>
    <row r="4"/>
    <row r="5">
      <c r="A5" s="2" t="inlineStr">
        <is>
          <t>Peak Month</t>
        </is>
      </c>
      <c r="B5" s="2" t="inlineStr">
        <is>
          <t>Current Monthly Profit</t>
        </is>
      </c>
      <c r="C5" s="2" t="inlineStr">
        <is>
          <t>Target Reserve Contribution</t>
        </is>
      </c>
      <c r="D5" s="2" t="inlineStr">
        <is>
          <t>Cumulative Reserve</t>
        </is>
      </c>
      <c r="E5" s="2" t="inlineStr">
        <is>
          <t>Reserve Goal</t>
        </is>
      </c>
      <c r="F5" s="2" t="inlineStr">
        <is>
          <t>Gap To Goal</t>
        </is>
      </c>
      <c r="G5" s="2" t="inlineStr">
        <is>
          <t>On Track Verdict</t>
        </is>
      </c>
    </row>
    <row r="6">
      <c r="A6" t="inlineStr">
        <is>
          <t>June</t>
        </is>
      </c>
      <c r="B6" t="n">
        <v>18000</v>
      </c>
      <c r="C6" t="n">
        <v>3500</v>
      </c>
      <c r="D6">
        <f>IFERROR(C6+B6*0,"")</f>
        <v/>
      </c>
      <c r="E6" t="n">
        <v>14000</v>
      </c>
      <c r="F6">
        <f>IFERROR(E6-D6,"")</f>
        <v/>
      </c>
      <c r="G6">
        <f>IFERROR(IF(D6&gt;=E6,"GOAL MET - Reserve fully funded, no layoffs needed",IF(F6&lt;=B6,"NEARLY THERE - One more strong month closes the gap","BEHIND - Increase contributions or plan staff cuts")),"")</f>
        <v/>
      </c>
    </row>
    <row r="7">
      <c r="A7" t="inlineStr">
        <is>
          <t>July</t>
        </is>
      </c>
      <c r="B7" t="n">
        <v>21000</v>
      </c>
      <c r="C7" t="n">
        <v>3500</v>
      </c>
      <c r="D7">
        <f>IFERROR(C7+B7*0,"")</f>
        <v/>
      </c>
      <c r="E7" t="n">
        <v>14000</v>
      </c>
      <c r="F7">
        <f>IFERROR(E7-D7,"")</f>
        <v/>
      </c>
      <c r="G7">
        <f>IFERROR(IF(D7&gt;=E7,"GOAL MET - Reserve fully funded, no layoffs needed",IF(F7&lt;=B7,"NEARLY THERE - One more strong month closes the gap","BEHIND - Increase contributions or plan staff cuts")),"")</f>
        <v/>
      </c>
    </row>
    <row r="8">
      <c r="A8" t="inlineStr">
        <is>
          <t>August</t>
        </is>
      </c>
      <c r="B8" t="n">
        <v>19500</v>
      </c>
      <c r="C8" t="n">
        <v>3500</v>
      </c>
      <c r="D8">
        <f>IFERROR(C8+B8*0,"")</f>
        <v/>
      </c>
      <c r="E8" t="n">
        <v>14000</v>
      </c>
      <c r="F8">
        <f>IFERROR(E8-D8,"")</f>
        <v/>
      </c>
      <c r="G8">
        <f>IFERROR(IF(D8&gt;=E8,"GOAL MET - Reserve fully funded, no layoffs needed",IF(F8&lt;=B8,"NEARLY THERE - One more strong month closes the gap","BEHIND - Increase contributions or plan staff cuts")),"")</f>
        <v/>
      </c>
    </row>
    <row r="9">
      <c r="A9" t="inlineStr">
        <is>
          <t>September</t>
        </is>
      </c>
      <c r="B9" t="n">
        <v>16000</v>
      </c>
      <c r="C9" t="n">
        <v>3500</v>
      </c>
      <c r="D9">
        <f>IFERROR(C9+B9*0,"")</f>
        <v/>
      </c>
      <c r="E9" t="n">
        <v>14000</v>
      </c>
      <c r="F9">
        <f>IFERROR(E9-D9,"")</f>
        <v/>
      </c>
      <c r="G9">
        <f>IFERROR(IF(D9&gt;=E9,"GOAL MET - Reserve fully funded, no layoffs needed",IF(F9&lt;=B9,"NEARLY THERE - One more strong month closes the gap","BEHIND - Increase contributions or plan staff cuts")),"")</f>
        <v/>
      </c>
    </row>
    <row r="10">
      <c r="A10" t="inlineStr">
        <is>
          <t>October</t>
        </is>
      </c>
      <c r="B10" t="n">
        <v>12000</v>
      </c>
      <c r="C10" t="n">
        <v>2000</v>
      </c>
      <c r="D10">
        <f>IFERROR(C10+B10*0,"")</f>
        <v/>
      </c>
      <c r="E10" t="n">
        <v>14000</v>
      </c>
      <c r="F10">
        <f>IFERROR(E10-D10,"")</f>
        <v/>
      </c>
      <c r="G10">
        <f>IFERROR(IF(D10&gt;=E10,"GOAL MET - Reserve fully funded, no layoffs needed",IF(F10&lt;=B10,"NEARLY THERE - One more strong month closes the gap","BEHIND - Increase contributions or plan staff cuts")),"")</f>
        <v/>
      </c>
    </row>
    <row r="11">
      <c r="D11">
        <f>IFERROR(C11+B11*0,"")</f>
        <v/>
      </c>
      <c r="F11">
        <f>IFERROR(E11-D11,"")</f>
        <v/>
      </c>
      <c r="G11">
        <f>IFERROR(IF(D11&gt;=E11,"GOAL MET - Reserve fully funded, no layoffs needed",IF(F11&lt;=B11,"NEARLY THERE - One more strong month closes the gap","BEHIND - Increase contributions or plan staff cuts")),"")</f>
        <v/>
      </c>
    </row>
    <row r="12">
      <c r="D12">
        <f>IFERROR(C12+B12*0,"")</f>
        <v/>
      </c>
      <c r="F12">
        <f>IFERROR(E12-D12,"")</f>
        <v/>
      </c>
      <c r="G12">
        <f>IFERROR(IF(D12&gt;=E12,"GOAL MET - Reserve fully funded, no layoffs needed",IF(F12&lt;=B12,"NEARLY THERE - One more strong month closes the gap","BEHIND - Increase contributions or plan staff cuts")),"")</f>
        <v/>
      </c>
    </row>
    <row r="13">
      <c r="D13">
        <f>IFERROR(C13+B13*0,"")</f>
        <v/>
      </c>
      <c r="F13">
        <f>IFERROR(E13-D13,"")</f>
        <v/>
      </c>
      <c r="G13">
        <f>IFERROR(IF(D13&gt;=E13,"GOAL MET - Reserve fully funded, no layoffs needed",IF(F13&lt;=B13,"NEARLY THERE - One more strong month closes the gap","BEHIND - Increase contributions or plan staff cuts")),"")</f>
        <v/>
      </c>
    </row>
    <row r="14">
      <c r="D14">
        <f>IFERROR(C14+B14*0,"")</f>
        <v/>
      </c>
      <c r="F14">
        <f>IFERROR(E14-D14,"")</f>
        <v/>
      </c>
      <c r="G14">
        <f>IFERROR(IF(D14&gt;=E14,"GOAL MET - Reserve fully funded, no layoffs needed",IF(F14&lt;=B14,"NEARLY THERE - One more strong month closes the gap","BEHIND - Increase contributions or plan staff cuts")),"")</f>
        <v/>
      </c>
    </row>
    <row r="15">
      <c r="D15">
        <f>IFERROR(C15+B15*0,"")</f>
        <v/>
      </c>
      <c r="F15">
        <f>IFERROR(E15-D15,"")</f>
        <v/>
      </c>
      <c r="G15">
        <f>IFERROR(IF(D15&gt;=E15,"GOAL MET - Reserve fully funded, no layoffs needed",IF(F15&lt;=B15,"NEARLY THERE - One more strong month closes the gap","BEHIND - Increase contributions or plan staff cuts")),"")</f>
        <v/>
      </c>
    </row>
    <row r="16">
      <c r="D16">
        <f>IFERROR(C16+B16*0,"")</f>
        <v/>
      </c>
      <c r="F16">
        <f>IFERROR(E16-D16,"")</f>
        <v/>
      </c>
      <c r="G16">
        <f>IFERROR(IF(D16&gt;=E16,"GOAL MET - Reserve fully funded, no layoffs needed",IF(F16&lt;=B16,"NEARLY THERE - One more strong month closes the gap","BEHIND - Increase contributions or plan staff cuts")),"")</f>
        <v/>
      </c>
    </row>
    <row r="17">
      <c r="D17">
        <f>IFERROR(C17+B17*0,"")</f>
        <v/>
      </c>
      <c r="F17">
        <f>IFERROR(E17-D17,"")</f>
        <v/>
      </c>
      <c r="G17">
        <f>IFERROR(IF(D17&gt;=E17,"GOAL MET - Reserve fully funded, no layoffs needed",IF(F17&lt;=B17,"NEARLY THERE - One more strong month closes the gap","BEHIND - Increase contributions or plan staff cuts")),"")</f>
        <v/>
      </c>
    </row>
    <row r="18">
      <c r="D18">
        <f>IFERROR(C18+B18*0,"")</f>
        <v/>
      </c>
      <c r="F18">
        <f>IFERROR(E18-D18,"")</f>
        <v/>
      </c>
      <c r="G18">
        <f>IFERROR(IF(D18&gt;=E18,"GOAL MET - Reserve fully funded, no layoffs needed",IF(F18&lt;=B18,"NEARLY THERE - One more strong month closes the gap","BEHIND - Increase contributions or plan staff cuts")),"")</f>
        <v/>
      </c>
    </row>
    <row r="19">
      <c r="D19">
        <f>IFERROR(C19+B19*0,"")</f>
        <v/>
      </c>
      <c r="F19">
        <f>IFERROR(E19-D19,"")</f>
        <v/>
      </c>
      <c r="G19">
        <f>IFERROR(IF(D19&gt;=E19,"GOAL MET - Reserve fully funded, no layoffs needed",IF(F19&lt;=B19,"NEARLY THERE - One more strong month closes the gap","BEHIND - Increase contributions or plan staff cuts")),"")</f>
        <v/>
      </c>
    </row>
    <row r="20">
      <c r="D20">
        <f>IFERROR(C20+B20*0,"")</f>
        <v/>
      </c>
      <c r="F20">
        <f>IFERROR(E20-D20,"")</f>
        <v/>
      </c>
      <c r="G20">
        <f>IFERROR(IF(D20&gt;=E20,"GOAL MET - Reserve fully funded, no layoffs needed",IF(F20&lt;=B20,"NEARLY THERE - One more strong month closes the gap","BEHIND - Increase contributions or plan staff cuts")),"")</f>
        <v/>
      </c>
    </row>
    <row r="21">
      <c r="D21">
        <f>IFERROR(C21+B21*0,"")</f>
        <v/>
      </c>
      <c r="F21">
        <f>IFERROR(E21-D21,"")</f>
        <v/>
      </c>
      <c r="G21">
        <f>IFERROR(IF(D21&gt;=E21,"GOAL MET - Reserve fully funded, no layoffs needed",IF(F21&lt;=B21,"NEARLY THERE - One more strong month closes the gap","BEHIND - Increase contributions or plan staff cuts")),"")</f>
        <v/>
      </c>
    </row>
    <row r="22">
      <c r="D22">
        <f>IFERROR(C22+B22*0,"")</f>
        <v/>
      </c>
      <c r="F22">
        <f>IFERROR(E22-D22,"")</f>
        <v/>
      </c>
      <c r="G22">
        <f>IFERROR(IF(D22&gt;=E22,"GOAL MET - Reserve fully funded, no layoffs needed",IF(F22&lt;=B22,"NEARLY THERE - One more strong month closes the gap","BEHIND - Increase contributions or plan staff cuts")),"")</f>
        <v/>
      </c>
    </row>
    <row r="23">
      <c r="D23">
        <f>IFERROR(C23+B23*0,"")</f>
        <v/>
      </c>
      <c r="F23">
        <f>IFERROR(E23-D23,"")</f>
        <v/>
      </c>
      <c r="G23">
        <f>IFERROR(IF(D23&gt;=E23,"GOAL MET - Reserve fully funded, no layoffs needed",IF(F23&lt;=B23,"NEARLY THERE - One more strong month closes the gap","BEHIND - Increase contributions or plan staff cuts")),"")</f>
        <v/>
      </c>
    </row>
    <row r="24">
      <c r="D24">
        <f>IFERROR(C24+B24*0,"")</f>
        <v/>
      </c>
      <c r="F24">
        <f>IFERROR(E24-D24,"")</f>
        <v/>
      </c>
      <c r="G24">
        <f>IFERROR(IF(D24&gt;=E24,"GOAL MET - Reserve fully funded, no layoffs needed",IF(F24&lt;=B24,"NEARLY THERE - One more strong month closes the gap","BEHIND - Increase contributions or plan staff cuts")),"")</f>
        <v/>
      </c>
    </row>
    <row r="25">
      <c r="D25">
        <f>IFERROR(C25+B25*0,"")</f>
        <v/>
      </c>
      <c r="F25">
        <f>IFERROR(E25-D25,"")</f>
        <v/>
      </c>
      <c r="G25">
        <f>IFERROR(IF(D25&gt;=E25,"GOAL MET - Reserve fully funded, no layoffs needed",IF(F25&lt;=B25,"NEARLY THERE - One more strong month closes the gap","BEHIND - Increase contributions or plan staff cuts")),"")</f>
        <v/>
      </c>
    </row>
  </sheetData>
  <mergeCells count="1">
    <mergeCell ref="A1:G3"/>
  </mergeCells>
  <conditionalFormatting sqref="F6:F25">
    <cfRule type="cellIs" priority="1" operator="greaterThan" dxfId="1">
      <formula>0</formula>
    </cfRule>
    <cfRule type="cellIs" priority="2" operator="lessThan" dxfId="2">
      <formula>1</formula>
    </cfRule>
  </conditionalFormatting>
  <conditionalFormatting sqref="D6:D25">
    <cfRule type="cellIs" priority="3" operator="greaterThan" dxfId="2">
      <formula>14000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2026-06-29T02:58:00Z</dcterms:created>
  <dcterms:modified xsi:type="dcterms:W3CDTF">2026-06-29T03:44:05Z</dcterms:modified>
</cp:coreProperties>
</file>