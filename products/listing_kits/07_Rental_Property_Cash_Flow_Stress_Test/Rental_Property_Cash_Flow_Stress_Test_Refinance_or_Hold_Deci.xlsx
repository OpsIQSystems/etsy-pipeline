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perty Inputs" sheetId="1" state="visible" r:id="rId1"/>
    <sheet name="Stress Test" sheetId="2" state="visible" r:id="rId2"/>
    <sheet name="Refinance Break-Even" sheetId="3" state="visible" r:id="rId3"/>
    <sheet name="Hold vs Sell Signal"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FFFF"/>
    </font>
  </fonts>
  <fills count="4">
    <fill>
      <patternFill/>
    </fill>
    <fill>
      <patternFill patternType="gray125"/>
    </fill>
    <fill>
      <patternFill patternType="solid">
        <fgColor rgb="002F5496"/>
        <bgColor rgb="002F5496"/>
      </patternFill>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3" borderId="0" pivotButton="0" quotePrefix="0" xfId="0"/>
  </cellXfs>
  <cellStyles count="1">
    <cellStyle name="Normal" xfId="0" builtinId="0" hidden="0"/>
  </cellStyles>
  <dxfs count="3">
    <dxf>
      <font>
        <color rgb="009C0006"/>
      </font>
      <fill>
        <patternFill patternType="solid">
          <fgColor rgb="00FFC7CE"/>
          <bgColor rgb="00FFC7CE"/>
        </patternFill>
      </fill>
    </dxf>
    <dxf>
      <font>
        <color rgb="00006100"/>
      </font>
      <fill>
        <patternFill patternType="solid">
          <fgColor rgb="00C6EFCE"/>
          <bgColor rgb="00C6EFCE"/>
        </patternFill>
      </fill>
    </dxf>
    <dxf>
      <font>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16" customWidth="1" min="1" max="1"/>
    <col width="16" customWidth="1" min="2" max="2"/>
    <col width="28" customWidth="1" min="3" max="3"/>
    <col width="22" customWidth="1" min="4" max="4"/>
    <col width="16" customWidth="1" min="5" max="5"/>
    <col width="16" customWidth="1" min="6" max="6"/>
    <col width="16" customWidth="1" min="7" max="7"/>
    <col width="17" customWidth="1" min="8" max="8"/>
    <col width="16" customWidth="1" min="9" max="9"/>
    <col width="24" customWidth="1" min="10" max="10"/>
    <col width="16" customWidth="1" min="11" max="11"/>
    <col width="16" customWidth="1" min="12" max="12"/>
  </cols>
  <sheetData>
    <row r="1">
      <c r="A1" s="1" t="inlineStr">
        <is>
          <t>AI INSIGHT SUMMARY:
Under a 2-month vacancy plus a 15% expense spike, the Maple St duplex goes cash-flow negative by $640/month and your reserve covers only 1.8 of those months -- build reserves or refinance before the rate reset. The Oak Ave property survives all three stress scenarios with positive cash flow, so it is your safest hold. Refinancing the Pine Rd variable-rate loan breaks even in 19 months, which is justified given the 31-month average hold horizon. Two of your four properties carry a DSCR below 1.20 under stress, signaling thin margins if a tenant leaves. Equity growth on the Elm St rental now exceeds its trailing cash flow trend, triggering a hold-vs-sell review.</t>
        </is>
      </c>
    </row>
    <row r="2"/>
    <row r="3"/>
    <row r="4"/>
    <row r="5">
      <c r="A5" s="2" t="inlineStr">
        <is>
          <t>Property Name</t>
        </is>
      </c>
      <c r="B5" s="2" t="inlineStr">
        <is>
          <t>Monthly Rent</t>
        </is>
      </c>
      <c r="C5" s="2" t="inlineStr">
        <is>
          <t>Monthly Operating Expenses</t>
        </is>
      </c>
      <c r="D5" s="2" t="inlineStr">
        <is>
          <t>Monthly Loan Payment</t>
        </is>
      </c>
      <c r="E5" s="2" t="inlineStr">
        <is>
          <t>Loan Balance</t>
        </is>
      </c>
      <c r="F5" s="2" t="inlineStr">
        <is>
          <t>Property Value</t>
        </is>
      </c>
      <c r="G5" s="2" t="inlineStr">
        <is>
          <t>Cash Reserve</t>
        </is>
      </c>
      <c r="H5" s="2" t="inlineStr">
        <is>
          <t>Interest Rate %</t>
        </is>
      </c>
      <c r="I5" s="2" t="inlineStr">
        <is>
          <t>Rate Type</t>
        </is>
      </c>
      <c r="J5" s="2" t="inlineStr">
        <is>
          <t>Base Monthly Cash Flow</t>
        </is>
      </c>
      <c r="K5" s="2" t="inlineStr">
        <is>
          <t>Current Equity</t>
        </is>
      </c>
      <c r="L5" s="2" t="inlineStr">
        <is>
          <t>Equity %</t>
        </is>
      </c>
    </row>
    <row r="6">
      <c r="A6" t="inlineStr">
        <is>
          <t>Maple St Duplex</t>
        </is>
      </c>
      <c r="B6" t="n">
        <v>2400</v>
      </c>
      <c r="C6" t="n">
        <v>900</v>
      </c>
      <c r="D6" t="n">
        <v>1500</v>
      </c>
      <c r="E6" t="n">
        <v>240000</v>
      </c>
      <c r="F6" t="n">
        <v>320000</v>
      </c>
      <c r="G6" t="n">
        <v>4500</v>
      </c>
      <c r="H6" t="n">
        <v>6.8</v>
      </c>
      <c r="I6" t="inlineStr">
        <is>
          <t>Variable</t>
        </is>
      </c>
      <c r="J6">
        <f>IFERROR(B6-C6-D6,"")</f>
        <v/>
      </c>
      <c r="K6">
        <f>IFERROR(F6-E6,"")</f>
        <v/>
      </c>
      <c r="L6">
        <f>IFERROR((F6-E6)/F6,"")</f>
        <v/>
      </c>
    </row>
    <row r="7">
      <c r="A7" t="inlineStr">
        <is>
          <t>Oak Ave SFH</t>
        </is>
      </c>
      <c r="B7" t="n">
        <v>1900</v>
      </c>
      <c r="C7" t="n">
        <v>600</v>
      </c>
      <c r="D7" t="n">
        <v>950</v>
      </c>
      <c r="E7" t="n">
        <v>150000</v>
      </c>
      <c r="F7" t="n">
        <v>260000</v>
      </c>
      <c r="G7" t="n">
        <v>12000</v>
      </c>
      <c r="H7" t="n">
        <v>4.2</v>
      </c>
      <c r="I7" t="inlineStr">
        <is>
          <t>Fixed</t>
        </is>
      </c>
      <c r="J7">
        <f>IFERROR(B7-C7-D7,"")</f>
        <v/>
      </c>
      <c r="K7">
        <f>IFERROR(F7-E7,"")</f>
        <v/>
      </c>
      <c r="L7">
        <f>IFERROR((F7-E7)/F7,"")</f>
        <v/>
      </c>
    </row>
    <row r="8">
      <c r="A8" t="inlineStr">
        <is>
          <t>Pine Rd Condo</t>
        </is>
      </c>
      <c r="B8" t="n">
        <v>1600</v>
      </c>
      <c r="C8" t="n">
        <v>550</v>
      </c>
      <c r="D8" t="n">
        <v>1100</v>
      </c>
      <c r="E8" t="n">
        <v>180000</v>
      </c>
      <c r="F8" t="n">
        <v>230000</v>
      </c>
      <c r="G8" t="n">
        <v>3000</v>
      </c>
      <c r="H8" t="n">
        <v>7.1</v>
      </c>
      <c r="I8" t="inlineStr">
        <is>
          <t>Variable</t>
        </is>
      </c>
      <c r="J8">
        <f>IFERROR(B8-C8-D8,"")</f>
        <v/>
      </c>
      <c r="K8">
        <f>IFERROR(F8-E8,"")</f>
        <v/>
      </c>
      <c r="L8">
        <f>IFERROR((F8-E8)/F8,"")</f>
        <v/>
      </c>
    </row>
    <row r="9">
      <c r="A9" t="inlineStr">
        <is>
          <t>Elm St Rental</t>
        </is>
      </c>
      <c r="B9" t="n">
        <v>2100</v>
      </c>
      <c r="C9" t="n">
        <v>700</v>
      </c>
      <c r="D9" t="n">
        <v>1200</v>
      </c>
      <c r="E9" t="n">
        <v>160000</v>
      </c>
      <c r="F9" t="n">
        <v>300000</v>
      </c>
      <c r="G9" t="n">
        <v>8000</v>
      </c>
      <c r="H9" t="n">
        <v>5.5</v>
      </c>
      <c r="I9" t="inlineStr">
        <is>
          <t>Fixed</t>
        </is>
      </c>
      <c r="J9">
        <f>IFERROR(B9-C9-D9,"")</f>
        <v/>
      </c>
      <c r="K9">
        <f>IFERROR(F9-E9,"")</f>
        <v/>
      </c>
      <c r="L9">
        <f>IFERROR((F9-E9)/F9,"")</f>
        <v/>
      </c>
    </row>
    <row r="10">
      <c r="J10">
        <f>IFERROR(B10-C10-D10,"")</f>
        <v/>
      </c>
      <c r="K10">
        <f>IFERROR(F10-E10,"")</f>
        <v/>
      </c>
      <c r="L10">
        <f>IFERROR((F10-E10)/F10,"")</f>
        <v/>
      </c>
    </row>
    <row r="11">
      <c r="J11">
        <f>IFERROR(B11-C11-D11,"")</f>
        <v/>
      </c>
      <c r="K11">
        <f>IFERROR(F11-E11,"")</f>
        <v/>
      </c>
      <c r="L11">
        <f>IFERROR((F11-E11)/F11,"")</f>
        <v/>
      </c>
    </row>
    <row r="12">
      <c r="J12">
        <f>IFERROR(B12-C12-D12,"")</f>
        <v/>
      </c>
      <c r="K12">
        <f>IFERROR(F12-E12,"")</f>
        <v/>
      </c>
      <c r="L12">
        <f>IFERROR((F12-E12)/F12,"")</f>
        <v/>
      </c>
    </row>
    <row r="13">
      <c r="J13">
        <f>IFERROR(B13-C13-D13,"")</f>
        <v/>
      </c>
      <c r="K13">
        <f>IFERROR(F13-E13,"")</f>
        <v/>
      </c>
      <c r="L13">
        <f>IFERROR((F13-E13)/F13,"")</f>
        <v/>
      </c>
    </row>
    <row r="14">
      <c r="J14">
        <f>IFERROR(B14-C14-D14,"")</f>
        <v/>
      </c>
      <c r="K14">
        <f>IFERROR(F14-E14,"")</f>
        <v/>
      </c>
      <c r="L14">
        <f>IFERROR((F14-E14)/F14,"")</f>
        <v/>
      </c>
    </row>
    <row r="15">
      <c r="J15">
        <f>IFERROR(B15-C15-D15,"")</f>
        <v/>
      </c>
      <c r="K15">
        <f>IFERROR(F15-E15,"")</f>
        <v/>
      </c>
      <c r="L15">
        <f>IFERROR((F15-E15)/F15,"")</f>
        <v/>
      </c>
    </row>
    <row r="16">
      <c r="J16">
        <f>IFERROR(B16-C16-D16,"")</f>
        <v/>
      </c>
      <c r="K16">
        <f>IFERROR(F16-E16,"")</f>
        <v/>
      </c>
      <c r="L16">
        <f>IFERROR((F16-E16)/F16,"")</f>
        <v/>
      </c>
    </row>
    <row r="17">
      <c r="J17">
        <f>IFERROR(B17-C17-D17,"")</f>
        <v/>
      </c>
      <c r="K17">
        <f>IFERROR(F17-E17,"")</f>
        <v/>
      </c>
      <c r="L17">
        <f>IFERROR((F17-E17)/F17,"")</f>
        <v/>
      </c>
    </row>
    <row r="18">
      <c r="J18">
        <f>IFERROR(B18-C18-D18,"")</f>
        <v/>
      </c>
      <c r="K18">
        <f>IFERROR(F18-E18,"")</f>
        <v/>
      </c>
      <c r="L18">
        <f>IFERROR((F18-E18)/F18,"")</f>
        <v/>
      </c>
    </row>
    <row r="19">
      <c r="J19">
        <f>IFERROR(B19-C19-D19,"")</f>
        <v/>
      </c>
      <c r="K19">
        <f>IFERROR(F19-E19,"")</f>
        <v/>
      </c>
      <c r="L19">
        <f>IFERROR((F19-E19)/F19,"")</f>
        <v/>
      </c>
    </row>
    <row r="20">
      <c r="J20">
        <f>IFERROR(B20-C20-D20,"")</f>
        <v/>
      </c>
      <c r="K20">
        <f>IFERROR(F20-E20,"")</f>
        <v/>
      </c>
      <c r="L20">
        <f>IFERROR((F20-E20)/F20,"")</f>
        <v/>
      </c>
    </row>
    <row r="21">
      <c r="J21">
        <f>IFERROR(B21-C21-D21,"")</f>
        <v/>
      </c>
      <c r="K21">
        <f>IFERROR(F21-E21,"")</f>
        <v/>
      </c>
      <c r="L21">
        <f>IFERROR((F21-E21)/F21,"")</f>
        <v/>
      </c>
    </row>
    <row r="22">
      <c r="J22">
        <f>IFERROR(B22-C22-D22,"")</f>
        <v/>
      </c>
      <c r="K22">
        <f>IFERROR(F22-E22,"")</f>
        <v/>
      </c>
      <c r="L22">
        <f>IFERROR((F22-E22)/F22,"")</f>
        <v/>
      </c>
    </row>
    <row r="23">
      <c r="J23">
        <f>IFERROR(B23-C23-D23,"")</f>
        <v/>
      </c>
      <c r="K23">
        <f>IFERROR(F23-E23,"")</f>
        <v/>
      </c>
      <c r="L23">
        <f>IFERROR((F23-E23)/F23,"")</f>
        <v/>
      </c>
    </row>
    <row r="24">
      <c r="J24">
        <f>IFERROR(B24-C24-D24,"")</f>
        <v/>
      </c>
      <c r="K24">
        <f>IFERROR(F24-E24,"")</f>
        <v/>
      </c>
      <c r="L24">
        <f>IFERROR((F24-E24)/F24,"")</f>
        <v/>
      </c>
    </row>
  </sheetData>
  <mergeCells count="1">
    <mergeCell ref="A1:L3"/>
  </mergeCells>
  <conditionalFormatting sqref="J6:J24">
    <cfRule type="cellIs" priority="1" operator="lessThan" dxfId="0">
      <formula>0</formula>
    </cfRule>
    <cfRule type="cellIs" priority="2" operator="greaterThan" dxfId="1">
      <formula>300</formula>
    </cfRule>
  </conditionalFormatting>
  <conditionalFormatting sqref="L6:L24">
    <cfRule type="cellIs" priority="3" operator="lessThan" dxfId="2">
      <formula>0.2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4"/>
  <sheetViews>
    <sheetView workbookViewId="0">
      <selection activeCell="A1" sqref="A1"/>
    </sheetView>
  </sheetViews>
  <sheetFormatPr baseColWidth="8" defaultRowHeight="15"/>
  <cols>
    <col width="16" customWidth="1" min="1" max="1"/>
    <col width="16" customWidth="1" min="2" max="2"/>
    <col width="28" customWidth="1" min="3" max="3"/>
    <col width="22" customWidth="1" min="4" max="4"/>
    <col width="16" customWidth="1" min="5" max="5"/>
    <col width="18" customWidth="1" min="6" max="6"/>
    <col width="23" customWidth="1" min="7" max="7"/>
    <col width="16" customWidth="1" min="8" max="8"/>
    <col width="17" customWidth="1" min="9" max="9"/>
    <col width="27" customWidth="1" min="10" max="10"/>
    <col width="31" customWidth="1" min="11" max="11"/>
    <col width="19" customWidth="1" min="12" max="12"/>
    <col width="24" customWidth="1" min="13" max="13"/>
    <col width="23" customWidth="1" min="14" max="14"/>
    <col width="16" customWidth="1" min="15" max="15"/>
    <col width="16" customWidth="1" min="16" max="16"/>
  </cols>
  <sheetData>
    <row r="1">
      <c r="A1" s="1" t="inlineStr">
        <is>
          <t>AI INSIGHT SUMMARY:
Under a 2-month vacancy plus a 15% expense spike, the Maple St duplex goes cash-flow negative by $640/month and your reserve covers only 1.8 of those months -- build reserves or refinance before the rate reset. The Oak Ave property survives all three stress scenarios with positive cash flow, so it is your safest hold. Refinancing the Pine Rd variable-rate loan breaks even in 19 months, which is justified given the 31-month average hold horizon. Two of your four properties carry a DSCR below 1.20 under stress, signaling thin margins if a tenant leaves. Equity growth on the Elm St rental now exceeds its trailing cash flow trend, triggering a hold-vs-sell review.</t>
        </is>
      </c>
    </row>
    <row r="2"/>
    <row r="3"/>
    <row r="4"/>
    <row r="5">
      <c r="A5" s="2" t="inlineStr">
        <is>
          <t>Property Name</t>
        </is>
      </c>
      <c r="B5" s="2" t="inlineStr">
        <is>
          <t>Monthly Rent</t>
        </is>
      </c>
      <c r="C5" s="2" t="inlineStr">
        <is>
          <t>Monthly Operating Expenses</t>
        </is>
      </c>
      <c r="D5" s="2" t="inlineStr">
        <is>
          <t>Monthly Loan Payment</t>
        </is>
      </c>
      <c r="E5" s="2" t="inlineStr">
        <is>
          <t>Cash Reserve</t>
        </is>
      </c>
      <c r="F5" s="2" t="inlineStr">
        <is>
          <t>Rate Reset Add %</t>
        </is>
      </c>
      <c r="G5" s="2" t="inlineStr">
        <is>
          <t>Stressed Loan Payment</t>
        </is>
      </c>
      <c r="H5" s="2" t="inlineStr">
        <is>
          <t>Vacancy Months</t>
        </is>
      </c>
      <c r="I5" s="2" t="inlineStr">
        <is>
          <t>Expense Spike %</t>
        </is>
      </c>
      <c r="J5" s="2" t="inlineStr">
        <is>
          <t>Stressed Monthly Expenses</t>
        </is>
      </c>
      <c r="K5" s="2" t="inlineStr">
        <is>
          <t>Stressed Cash Flow (Occupied)</t>
        </is>
      </c>
      <c r="L5" s="2" t="inlineStr">
        <is>
          <t>Vacancy Shortfall</t>
        </is>
      </c>
      <c r="M5" s="2" t="inlineStr">
        <is>
          <t>Total Stress Shortfall</t>
        </is>
      </c>
      <c r="N5" s="2" t="inlineStr">
        <is>
          <t>Months Reserve Covers</t>
        </is>
      </c>
      <c r="O5" s="2" t="inlineStr">
        <is>
          <t>Stressed DSCR</t>
        </is>
      </c>
      <c r="P5" s="2" t="inlineStr">
        <is>
          <t>Risk Verdict</t>
        </is>
      </c>
    </row>
    <row r="6">
      <c r="A6" t="inlineStr">
        <is>
          <t>Maple St Duplex</t>
        </is>
      </c>
      <c r="B6" t="n">
        <v>2400</v>
      </c>
      <c r="C6" t="n">
        <v>900</v>
      </c>
      <c r="D6" t="n">
        <v>1500</v>
      </c>
      <c r="E6" t="n">
        <v>4500</v>
      </c>
      <c r="F6" t="n">
        <v>0.15</v>
      </c>
      <c r="G6">
        <f>IFERROR(D6*(1+F6),"")</f>
        <v/>
      </c>
      <c r="H6" t="n">
        <v>2</v>
      </c>
      <c r="I6" t="n">
        <v>0.15</v>
      </c>
      <c r="J6">
        <f>IFERROR(C6*(1+I6),"")</f>
        <v/>
      </c>
      <c r="K6">
        <f>IFERROR(B6-J6-G6,"")</f>
        <v/>
      </c>
      <c r="L6">
        <f>IFERROR(H6*(J6+G6),"")</f>
        <v/>
      </c>
      <c r="M6">
        <f>IFERROR(IF(K6&lt;0,ABS(K6)*12,0)+L6,"")</f>
        <v/>
      </c>
      <c r="N6">
        <f>IFERROR(IF((J6+G6)=0,0,E6/(J6+G6)),"")</f>
        <v/>
      </c>
      <c r="O6">
        <f>IFERROR((B6-J6)/G6,"")</f>
        <v/>
      </c>
      <c r="P6">
        <f>IFERROR(IF(K6&lt;0,IF(N6&lt;H6,"CRITICAL - negative cash flow &amp; reserves fall short, refinance or sell","AT RISK - negative cash flow but reserves cover the gap, build reserves"),IF(O6&lt;1.2,"CAUTION - thin margin under stress, monitor","RESILIENT - survives stress scenario, hold")),"")</f>
        <v/>
      </c>
    </row>
    <row r="7">
      <c r="A7" t="inlineStr">
        <is>
          <t>Oak Ave SFH</t>
        </is>
      </c>
      <c r="B7" t="n">
        <v>1900</v>
      </c>
      <c r="C7" t="n">
        <v>600</v>
      </c>
      <c r="D7" t="n">
        <v>950</v>
      </c>
      <c r="E7" t="n">
        <v>12000</v>
      </c>
      <c r="F7" t="n">
        <v>0</v>
      </c>
      <c r="G7">
        <f>IFERROR(D7*(1+F7),"")</f>
        <v/>
      </c>
      <c r="H7" t="n">
        <v>2</v>
      </c>
      <c r="I7" t="n">
        <v>0.15</v>
      </c>
      <c r="J7">
        <f>IFERROR(C7*(1+I7),"")</f>
        <v/>
      </c>
      <c r="K7">
        <f>IFERROR(B7-J7-G7,"")</f>
        <v/>
      </c>
      <c r="L7">
        <f>IFERROR(H7*(J7+G7),"")</f>
        <v/>
      </c>
      <c r="M7">
        <f>IFERROR(IF(K7&lt;0,ABS(K7)*12,0)+L7,"")</f>
        <v/>
      </c>
      <c r="N7">
        <f>IFERROR(IF((J7+G7)=0,0,E7/(J7+G7)),"")</f>
        <v/>
      </c>
      <c r="O7">
        <f>IFERROR((B7-J7)/G7,"")</f>
        <v/>
      </c>
      <c r="P7">
        <f>IFERROR(IF(K7&lt;0,IF(N7&lt;H7,"CRITICAL - negative cash flow &amp; reserves fall short, refinance or sell","AT RISK - negative cash flow but reserves cover the gap, build reserves"),IF(O7&lt;1.2,"CAUTION - thin margin under stress, monitor","RESILIENT - survives stress scenario, hold")),"")</f>
        <v/>
      </c>
    </row>
    <row r="8">
      <c r="A8" t="inlineStr">
        <is>
          <t>Pine Rd Condo</t>
        </is>
      </c>
      <c r="B8" t="n">
        <v>1600</v>
      </c>
      <c r="C8" t="n">
        <v>550</v>
      </c>
      <c r="D8" t="n">
        <v>1100</v>
      </c>
      <c r="E8" t="n">
        <v>3000</v>
      </c>
      <c r="F8" t="n">
        <v>0.15</v>
      </c>
      <c r="G8">
        <f>IFERROR(D8*(1+F8),"")</f>
        <v/>
      </c>
      <c r="H8" t="n">
        <v>2</v>
      </c>
      <c r="I8" t="n">
        <v>0.15</v>
      </c>
      <c r="J8">
        <f>IFERROR(C8*(1+I8),"")</f>
        <v/>
      </c>
      <c r="K8">
        <f>IFERROR(B8-J8-G8,"")</f>
        <v/>
      </c>
      <c r="L8">
        <f>IFERROR(H8*(J8+G8),"")</f>
        <v/>
      </c>
      <c r="M8">
        <f>IFERROR(IF(K8&lt;0,ABS(K8)*12,0)+L8,"")</f>
        <v/>
      </c>
      <c r="N8">
        <f>IFERROR(IF((J8+G8)=0,0,E8/(J8+G8)),"")</f>
        <v/>
      </c>
      <c r="O8">
        <f>IFERROR((B8-J8)/G8,"")</f>
        <v/>
      </c>
      <c r="P8">
        <f>IFERROR(IF(K8&lt;0,IF(N8&lt;H8,"CRITICAL - negative cash flow &amp; reserves fall short, refinance or sell","AT RISK - negative cash flow but reserves cover the gap, build reserves"),IF(O8&lt;1.2,"CAUTION - thin margin under stress, monitor","RESILIENT - survives stress scenario, hold")),"")</f>
        <v/>
      </c>
    </row>
    <row r="9">
      <c r="A9" t="inlineStr">
        <is>
          <t>Elm St Rental</t>
        </is>
      </c>
      <c r="B9" t="n">
        <v>2100</v>
      </c>
      <c r="C9" t="n">
        <v>700</v>
      </c>
      <c r="D9" t="n">
        <v>1200</v>
      </c>
      <c r="E9" t="n">
        <v>8000</v>
      </c>
      <c r="F9" t="n">
        <v>0</v>
      </c>
      <c r="G9">
        <f>IFERROR(D9*(1+F9),"")</f>
        <v/>
      </c>
      <c r="H9" t="n">
        <v>2</v>
      </c>
      <c r="I9" t="n">
        <v>0.15</v>
      </c>
      <c r="J9">
        <f>IFERROR(C9*(1+I9),"")</f>
        <v/>
      </c>
      <c r="K9">
        <f>IFERROR(B9-J9-G9,"")</f>
        <v/>
      </c>
      <c r="L9">
        <f>IFERROR(H9*(J9+G9),"")</f>
        <v/>
      </c>
      <c r="M9">
        <f>IFERROR(IF(K9&lt;0,ABS(K9)*12,0)+L9,"")</f>
        <v/>
      </c>
      <c r="N9">
        <f>IFERROR(IF((J9+G9)=0,0,E9/(J9+G9)),"")</f>
        <v/>
      </c>
      <c r="O9">
        <f>IFERROR((B9-J9)/G9,"")</f>
        <v/>
      </c>
      <c r="P9">
        <f>IFERROR(IF(K9&lt;0,IF(N9&lt;H9,"CRITICAL - negative cash flow &amp; reserves fall short, refinance or sell","AT RISK - negative cash flow but reserves cover the gap, build reserves"),IF(O9&lt;1.2,"CAUTION - thin margin under stress, monitor","RESILIENT - survives stress scenario, hold")),"")</f>
        <v/>
      </c>
    </row>
    <row r="10">
      <c r="G10">
        <f>IFERROR(D10*(1+F10),"")</f>
        <v/>
      </c>
      <c r="J10">
        <f>IFERROR(C10*(1+I10),"")</f>
        <v/>
      </c>
      <c r="K10">
        <f>IFERROR(B10-J10-G10,"")</f>
        <v/>
      </c>
      <c r="L10">
        <f>IFERROR(H10*(J10+G10),"")</f>
        <v/>
      </c>
      <c r="M10">
        <f>IFERROR(IF(K10&lt;0,ABS(K10)*12,0)+L10,"")</f>
        <v/>
      </c>
      <c r="N10">
        <f>IFERROR(IF((J10+G10)=0,0,E10/(J10+G10)),"")</f>
        <v/>
      </c>
      <c r="O10">
        <f>IFERROR((B10-J10)/G10,"")</f>
        <v/>
      </c>
      <c r="P10">
        <f>IFERROR(IF(K10&lt;0,IF(N10&lt;H10,"CRITICAL - negative cash flow &amp; reserves fall short, refinance or sell","AT RISK - negative cash flow but reserves cover the gap, build reserves"),IF(O10&lt;1.2,"CAUTION - thin margin under stress, monitor","RESILIENT - survives stress scenario, hold")),"")</f>
        <v/>
      </c>
    </row>
    <row r="11">
      <c r="G11">
        <f>IFERROR(D11*(1+F11),"")</f>
        <v/>
      </c>
      <c r="J11">
        <f>IFERROR(C11*(1+I11),"")</f>
        <v/>
      </c>
      <c r="K11">
        <f>IFERROR(B11-J11-G11,"")</f>
        <v/>
      </c>
      <c r="L11">
        <f>IFERROR(H11*(J11+G11),"")</f>
        <v/>
      </c>
      <c r="M11">
        <f>IFERROR(IF(K11&lt;0,ABS(K11)*12,0)+L11,"")</f>
        <v/>
      </c>
      <c r="N11">
        <f>IFERROR(IF((J11+G11)=0,0,E11/(J11+G11)),"")</f>
        <v/>
      </c>
      <c r="O11">
        <f>IFERROR((B11-J11)/G11,"")</f>
        <v/>
      </c>
      <c r="P11">
        <f>IFERROR(IF(K11&lt;0,IF(N11&lt;H11,"CRITICAL - negative cash flow &amp; reserves fall short, refinance or sell","AT RISK - negative cash flow but reserves cover the gap, build reserves"),IF(O11&lt;1.2,"CAUTION - thin margin under stress, monitor","RESILIENT - survives stress scenario, hold")),"")</f>
        <v/>
      </c>
    </row>
    <row r="12">
      <c r="G12">
        <f>IFERROR(D12*(1+F12),"")</f>
        <v/>
      </c>
      <c r="J12">
        <f>IFERROR(C12*(1+I12),"")</f>
        <v/>
      </c>
      <c r="K12">
        <f>IFERROR(B12-J12-G12,"")</f>
        <v/>
      </c>
      <c r="L12">
        <f>IFERROR(H12*(J12+G12),"")</f>
        <v/>
      </c>
      <c r="M12">
        <f>IFERROR(IF(K12&lt;0,ABS(K12)*12,0)+L12,"")</f>
        <v/>
      </c>
      <c r="N12">
        <f>IFERROR(IF((J12+G12)=0,0,E12/(J12+G12)),"")</f>
        <v/>
      </c>
      <c r="O12">
        <f>IFERROR((B12-J12)/G12,"")</f>
        <v/>
      </c>
      <c r="P12">
        <f>IFERROR(IF(K12&lt;0,IF(N12&lt;H12,"CRITICAL - negative cash flow &amp; reserves fall short, refinance or sell","AT RISK - negative cash flow but reserves cover the gap, build reserves"),IF(O12&lt;1.2,"CAUTION - thin margin under stress, monitor","RESILIENT - survives stress scenario, hold")),"")</f>
        <v/>
      </c>
    </row>
    <row r="13">
      <c r="G13">
        <f>IFERROR(D13*(1+F13),"")</f>
        <v/>
      </c>
      <c r="J13">
        <f>IFERROR(C13*(1+I13),"")</f>
        <v/>
      </c>
      <c r="K13">
        <f>IFERROR(B13-J13-G13,"")</f>
        <v/>
      </c>
      <c r="L13">
        <f>IFERROR(H13*(J13+G13),"")</f>
        <v/>
      </c>
      <c r="M13">
        <f>IFERROR(IF(K13&lt;0,ABS(K13)*12,0)+L13,"")</f>
        <v/>
      </c>
      <c r="N13">
        <f>IFERROR(IF((J13+G13)=0,0,E13/(J13+G13)),"")</f>
        <v/>
      </c>
      <c r="O13">
        <f>IFERROR((B13-J13)/G13,"")</f>
        <v/>
      </c>
      <c r="P13">
        <f>IFERROR(IF(K13&lt;0,IF(N13&lt;H13,"CRITICAL - negative cash flow &amp; reserves fall short, refinance or sell","AT RISK - negative cash flow but reserves cover the gap, build reserves"),IF(O13&lt;1.2,"CAUTION - thin margin under stress, monitor","RESILIENT - survives stress scenario, hold")),"")</f>
        <v/>
      </c>
    </row>
    <row r="14">
      <c r="G14">
        <f>IFERROR(D14*(1+F14),"")</f>
        <v/>
      </c>
      <c r="J14">
        <f>IFERROR(C14*(1+I14),"")</f>
        <v/>
      </c>
      <c r="K14">
        <f>IFERROR(B14-J14-G14,"")</f>
        <v/>
      </c>
      <c r="L14">
        <f>IFERROR(H14*(J14+G14),"")</f>
        <v/>
      </c>
      <c r="M14">
        <f>IFERROR(IF(K14&lt;0,ABS(K14)*12,0)+L14,"")</f>
        <v/>
      </c>
      <c r="N14">
        <f>IFERROR(IF((J14+G14)=0,0,E14/(J14+G14)),"")</f>
        <v/>
      </c>
      <c r="O14">
        <f>IFERROR((B14-J14)/G14,"")</f>
        <v/>
      </c>
      <c r="P14">
        <f>IFERROR(IF(K14&lt;0,IF(N14&lt;H14,"CRITICAL - negative cash flow &amp; reserves fall short, refinance or sell","AT RISK - negative cash flow but reserves cover the gap, build reserves"),IF(O14&lt;1.2,"CAUTION - thin margin under stress, monitor","RESILIENT - survives stress scenario, hold")),"")</f>
        <v/>
      </c>
    </row>
    <row r="15">
      <c r="G15">
        <f>IFERROR(D15*(1+F15),"")</f>
        <v/>
      </c>
      <c r="J15">
        <f>IFERROR(C15*(1+I15),"")</f>
        <v/>
      </c>
      <c r="K15">
        <f>IFERROR(B15-J15-G15,"")</f>
        <v/>
      </c>
      <c r="L15">
        <f>IFERROR(H15*(J15+G15),"")</f>
        <v/>
      </c>
      <c r="M15">
        <f>IFERROR(IF(K15&lt;0,ABS(K15)*12,0)+L15,"")</f>
        <v/>
      </c>
      <c r="N15">
        <f>IFERROR(IF((J15+G15)=0,0,E15/(J15+G15)),"")</f>
        <v/>
      </c>
      <c r="O15">
        <f>IFERROR((B15-J15)/G15,"")</f>
        <v/>
      </c>
      <c r="P15">
        <f>IFERROR(IF(K15&lt;0,IF(N15&lt;H15,"CRITICAL - negative cash flow &amp; reserves fall short, refinance or sell","AT RISK - negative cash flow but reserves cover the gap, build reserves"),IF(O15&lt;1.2,"CAUTION - thin margin under stress, monitor","RESILIENT - survives stress scenario, hold")),"")</f>
        <v/>
      </c>
    </row>
    <row r="16">
      <c r="G16">
        <f>IFERROR(D16*(1+F16),"")</f>
        <v/>
      </c>
      <c r="J16">
        <f>IFERROR(C16*(1+I16),"")</f>
        <v/>
      </c>
      <c r="K16">
        <f>IFERROR(B16-J16-G16,"")</f>
        <v/>
      </c>
      <c r="L16">
        <f>IFERROR(H16*(J16+G16),"")</f>
        <v/>
      </c>
      <c r="M16">
        <f>IFERROR(IF(K16&lt;0,ABS(K16)*12,0)+L16,"")</f>
        <v/>
      </c>
      <c r="N16">
        <f>IFERROR(IF((J16+G16)=0,0,E16/(J16+G16)),"")</f>
        <v/>
      </c>
      <c r="O16">
        <f>IFERROR((B16-J16)/G16,"")</f>
        <v/>
      </c>
      <c r="P16">
        <f>IFERROR(IF(K16&lt;0,IF(N16&lt;H16,"CRITICAL - negative cash flow &amp; reserves fall short, refinance or sell","AT RISK - negative cash flow but reserves cover the gap, build reserves"),IF(O16&lt;1.2,"CAUTION - thin margin under stress, monitor","RESILIENT - survives stress scenario, hold")),"")</f>
        <v/>
      </c>
    </row>
    <row r="17">
      <c r="G17">
        <f>IFERROR(D17*(1+F17),"")</f>
        <v/>
      </c>
      <c r="J17">
        <f>IFERROR(C17*(1+I17),"")</f>
        <v/>
      </c>
      <c r="K17">
        <f>IFERROR(B17-J17-G17,"")</f>
        <v/>
      </c>
      <c r="L17">
        <f>IFERROR(H17*(J17+G17),"")</f>
        <v/>
      </c>
      <c r="M17">
        <f>IFERROR(IF(K17&lt;0,ABS(K17)*12,0)+L17,"")</f>
        <v/>
      </c>
      <c r="N17">
        <f>IFERROR(IF((J17+G17)=0,0,E17/(J17+G17)),"")</f>
        <v/>
      </c>
      <c r="O17">
        <f>IFERROR((B17-J17)/G17,"")</f>
        <v/>
      </c>
      <c r="P17">
        <f>IFERROR(IF(K17&lt;0,IF(N17&lt;H17,"CRITICAL - negative cash flow &amp; reserves fall short, refinance or sell","AT RISK - negative cash flow but reserves cover the gap, build reserves"),IF(O17&lt;1.2,"CAUTION - thin margin under stress, monitor","RESILIENT - survives stress scenario, hold")),"")</f>
        <v/>
      </c>
    </row>
    <row r="18">
      <c r="G18">
        <f>IFERROR(D18*(1+F18),"")</f>
        <v/>
      </c>
      <c r="J18">
        <f>IFERROR(C18*(1+I18),"")</f>
        <v/>
      </c>
      <c r="K18">
        <f>IFERROR(B18-J18-G18,"")</f>
        <v/>
      </c>
      <c r="L18">
        <f>IFERROR(H18*(J18+G18),"")</f>
        <v/>
      </c>
      <c r="M18">
        <f>IFERROR(IF(K18&lt;0,ABS(K18)*12,0)+L18,"")</f>
        <v/>
      </c>
      <c r="N18">
        <f>IFERROR(IF((J18+G18)=0,0,E18/(J18+G18)),"")</f>
        <v/>
      </c>
      <c r="O18">
        <f>IFERROR((B18-J18)/G18,"")</f>
        <v/>
      </c>
      <c r="P18">
        <f>IFERROR(IF(K18&lt;0,IF(N18&lt;H18,"CRITICAL - negative cash flow &amp; reserves fall short, refinance or sell","AT RISK - negative cash flow but reserves cover the gap, build reserves"),IF(O18&lt;1.2,"CAUTION - thin margin under stress, monitor","RESILIENT - survives stress scenario, hold")),"")</f>
        <v/>
      </c>
    </row>
    <row r="19">
      <c r="G19">
        <f>IFERROR(D19*(1+F19),"")</f>
        <v/>
      </c>
      <c r="J19">
        <f>IFERROR(C19*(1+I19),"")</f>
        <v/>
      </c>
      <c r="K19">
        <f>IFERROR(B19-J19-G19,"")</f>
        <v/>
      </c>
      <c r="L19">
        <f>IFERROR(H19*(J19+G19),"")</f>
        <v/>
      </c>
      <c r="M19">
        <f>IFERROR(IF(K19&lt;0,ABS(K19)*12,0)+L19,"")</f>
        <v/>
      </c>
      <c r="N19">
        <f>IFERROR(IF((J19+G19)=0,0,E19/(J19+G19)),"")</f>
        <v/>
      </c>
      <c r="O19">
        <f>IFERROR((B19-J19)/G19,"")</f>
        <v/>
      </c>
      <c r="P19">
        <f>IFERROR(IF(K19&lt;0,IF(N19&lt;H19,"CRITICAL - negative cash flow &amp; reserves fall short, refinance or sell","AT RISK - negative cash flow but reserves cover the gap, build reserves"),IF(O19&lt;1.2,"CAUTION - thin margin under stress, monitor","RESILIENT - survives stress scenario, hold")),"")</f>
        <v/>
      </c>
    </row>
    <row r="20">
      <c r="G20">
        <f>IFERROR(D20*(1+F20),"")</f>
        <v/>
      </c>
      <c r="J20">
        <f>IFERROR(C20*(1+I20),"")</f>
        <v/>
      </c>
      <c r="K20">
        <f>IFERROR(B20-J20-G20,"")</f>
        <v/>
      </c>
      <c r="L20">
        <f>IFERROR(H20*(J20+G20),"")</f>
        <v/>
      </c>
      <c r="M20">
        <f>IFERROR(IF(K20&lt;0,ABS(K20)*12,0)+L20,"")</f>
        <v/>
      </c>
      <c r="N20">
        <f>IFERROR(IF((J20+G20)=0,0,E20/(J20+G20)),"")</f>
        <v/>
      </c>
      <c r="O20">
        <f>IFERROR((B20-J20)/G20,"")</f>
        <v/>
      </c>
      <c r="P20">
        <f>IFERROR(IF(K20&lt;0,IF(N20&lt;H20,"CRITICAL - negative cash flow &amp; reserves fall short, refinance or sell","AT RISK - negative cash flow but reserves cover the gap, build reserves"),IF(O20&lt;1.2,"CAUTION - thin margin under stress, monitor","RESILIENT - survives stress scenario, hold")),"")</f>
        <v/>
      </c>
    </row>
    <row r="21">
      <c r="G21">
        <f>IFERROR(D21*(1+F21),"")</f>
        <v/>
      </c>
      <c r="J21">
        <f>IFERROR(C21*(1+I21),"")</f>
        <v/>
      </c>
      <c r="K21">
        <f>IFERROR(B21-J21-G21,"")</f>
        <v/>
      </c>
      <c r="L21">
        <f>IFERROR(H21*(J21+G21),"")</f>
        <v/>
      </c>
      <c r="M21">
        <f>IFERROR(IF(K21&lt;0,ABS(K21)*12,0)+L21,"")</f>
        <v/>
      </c>
      <c r="N21">
        <f>IFERROR(IF((J21+G21)=0,0,E21/(J21+G21)),"")</f>
        <v/>
      </c>
      <c r="O21">
        <f>IFERROR((B21-J21)/G21,"")</f>
        <v/>
      </c>
      <c r="P21">
        <f>IFERROR(IF(K21&lt;0,IF(N21&lt;H21,"CRITICAL - negative cash flow &amp; reserves fall short, refinance or sell","AT RISK - negative cash flow but reserves cover the gap, build reserves"),IF(O21&lt;1.2,"CAUTION - thin margin under stress, monitor","RESILIENT - survives stress scenario, hold")),"")</f>
        <v/>
      </c>
    </row>
    <row r="22">
      <c r="G22">
        <f>IFERROR(D22*(1+F22),"")</f>
        <v/>
      </c>
      <c r="J22">
        <f>IFERROR(C22*(1+I22),"")</f>
        <v/>
      </c>
      <c r="K22">
        <f>IFERROR(B22-J22-G22,"")</f>
        <v/>
      </c>
      <c r="L22">
        <f>IFERROR(H22*(J22+G22),"")</f>
        <v/>
      </c>
      <c r="M22">
        <f>IFERROR(IF(K22&lt;0,ABS(K22)*12,0)+L22,"")</f>
        <v/>
      </c>
      <c r="N22">
        <f>IFERROR(IF((J22+G22)=0,0,E22/(J22+G22)),"")</f>
        <v/>
      </c>
      <c r="O22">
        <f>IFERROR((B22-J22)/G22,"")</f>
        <v/>
      </c>
      <c r="P22">
        <f>IFERROR(IF(K22&lt;0,IF(N22&lt;H22,"CRITICAL - negative cash flow &amp; reserves fall short, refinance or sell","AT RISK - negative cash flow but reserves cover the gap, build reserves"),IF(O22&lt;1.2,"CAUTION - thin margin under stress, monitor","RESILIENT - survives stress scenario, hold")),"")</f>
        <v/>
      </c>
    </row>
    <row r="23">
      <c r="G23">
        <f>IFERROR(D23*(1+F23),"")</f>
        <v/>
      </c>
      <c r="J23">
        <f>IFERROR(C23*(1+I23),"")</f>
        <v/>
      </c>
      <c r="K23">
        <f>IFERROR(B23-J23-G23,"")</f>
        <v/>
      </c>
      <c r="L23">
        <f>IFERROR(H23*(J23+G23),"")</f>
        <v/>
      </c>
      <c r="M23">
        <f>IFERROR(IF(K23&lt;0,ABS(K23)*12,0)+L23,"")</f>
        <v/>
      </c>
      <c r="N23">
        <f>IFERROR(IF((J23+G23)=0,0,E23/(J23+G23)),"")</f>
        <v/>
      </c>
      <c r="O23">
        <f>IFERROR((B23-J23)/G23,"")</f>
        <v/>
      </c>
      <c r="P23">
        <f>IFERROR(IF(K23&lt;0,IF(N23&lt;H23,"CRITICAL - negative cash flow &amp; reserves fall short, refinance or sell","AT RISK - negative cash flow but reserves cover the gap, build reserves"),IF(O23&lt;1.2,"CAUTION - thin margin under stress, monitor","RESILIENT - survives stress scenario, hold")),"")</f>
        <v/>
      </c>
    </row>
    <row r="24">
      <c r="G24">
        <f>IFERROR(D24*(1+F24),"")</f>
        <v/>
      </c>
      <c r="J24">
        <f>IFERROR(C24*(1+I24),"")</f>
        <v/>
      </c>
      <c r="K24">
        <f>IFERROR(B24-J24-G24,"")</f>
        <v/>
      </c>
      <c r="L24">
        <f>IFERROR(H24*(J24+G24),"")</f>
        <v/>
      </c>
      <c r="M24">
        <f>IFERROR(IF(K24&lt;0,ABS(K24)*12,0)+L24,"")</f>
        <v/>
      </c>
      <c r="N24">
        <f>IFERROR(IF((J24+G24)=0,0,E24/(J24+G24)),"")</f>
        <v/>
      </c>
      <c r="O24">
        <f>IFERROR((B24-J24)/G24,"")</f>
        <v/>
      </c>
      <c r="P24">
        <f>IFERROR(IF(K24&lt;0,IF(N24&lt;H24,"CRITICAL - negative cash flow &amp; reserves fall short, refinance or sell","AT RISK - negative cash flow but reserves cover the gap, build reserves"),IF(O24&lt;1.2,"CAUTION - thin margin under stress, monitor","RESILIENT - survives stress scenario, hold")),"")</f>
        <v/>
      </c>
    </row>
  </sheetData>
  <mergeCells count="1">
    <mergeCell ref="A1:P3"/>
  </mergeCells>
  <conditionalFormatting sqref="K6:K24">
    <cfRule type="cellIs" priority="1" operator="lessThan" dxfId="0">
      <formula>0</formula>
    </cfRule>
  </conditionalFormatting>
  <conditionalFormatting sqref="O6:O24">
    <cfRule type="cellIs" priority="2" operator="lessThan" dxfId="2">
      <formula>1.2</formula>
    </cfRule>
    <cfRule type="cellIs" priority="3" operator="greaterThan" dxfId="1">
      <formula>1.5</formula>
    </cfRule>
  </conditionalFormatting>
  <conditionalFormatting sqref="N6:N24">
    <cfRule type="cellIs" priority="4" operator="lessThan" dxfId="0">
      <formula>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25" customWidth="1" min="2" max="2"/>
    <col width="21" customWidth="1" min="3" max="3"/>
    <col width="16" customWidth="1" min="4" max="4"/>
    <col width="17" customWidth="1" min="5" max="5"/>
    <col width="19" customWidth="1" min="6" max="6"/>
    <col width="22" customWidth="1" min="7" max="7"/>
    <col width="19" customWidth="1" min="8" max="8"/>
  </cols>
  <sheetData>
    <row r="1">
      <c r="A1" s="1" t="inlineStr">
        <is>
          <t>AI INSIGHT SUMMARY:
Under a 2-month vacancy plus a 15% expense spike, the Maple St duplex goes cash-flow negative by $640/month and your reserve covers only 1.8 of those months -- build reserves or refinance before the rate reset. The Oak Ave property survives all three stress scenarios with positive cash flow, so it is your safest hold. Refinancing the Pine Rd variable-rate loan breaks even in 19 months, which is justified given the 31-month average hold horizon. Two of your four properties carry a DSCR below 1.20 under stress, signaling thin margins if a tenant leaves. Equity growth on the Elm St rental now exceeds its trailing cash flow trend, triggering a hold-vs-sell review.</t>
        </is>
      </c>
    </row>
    <row r="2"/>
    <row r="3"/>
    <row r="4"/>
    <row r="5">
      <c r="A5" s="2" t="inlineStr">
        <is>
          <t>Property Name</t>
        </is>
      </c>
      <c r="B5" s="2" t="inlineStr">
        <is>
          <t>Current Monthly Payment</t>
        </is>
      </c>
      <c r="C5" s="2" t="inlineStr">
        <is>
          <t>New Monthly Payment</t>
        </is>
      </c>
      <c r="D5" s="2" t="inlineStr">
        <is>
          <t>Closing Costs</t>
        </is>
      </c>
      <c r="E5" s="2" t="inlineStr">
        <is>
          <t>Monthly Savings</t>
        </is>
      </c>
      <c r="F5" s="2" t="inlineStr">
        <is>
          <t>Break-Even Months</t>
        </is>
      </c>
      <c r="G5" s="2" t="inlineStr">
        <is>
          <t>Expected Hold Months</t>
        </is>
      </c>
      <c r="H5" s="2" t="inlineStr">
        <is>
          <t>Refinance Verdict</t>
        </is>
      </c>
    </row>
    <row r="6">
      <c r="A6" t="inlineStr">
        <is>
          <t>Maple St Duplex</t>
        </is>
      </c>
      <c r="B6" t="n">
        <v>1500</v>
      </c>
      <c r="C6" t="n">
        <v>1320</v>
      </c>
      <c r="D6" t="n">
        <v>6800</v>
      </c>
      <c r="E6">
        <f>IFERROR(B6-C6,"")</f>
        <v/>
      </c>
      <c r="F6">
        <f>IFERROR(IF(E6&lt;=0,9999,D6/E6),"")</f>
        <v/>
      </c>
      <c r="G6" t="n">
        <v>36</v>
      </c>
      <c r="H6">
        <f>IFERROR(IF(E6&lt;=0,"DO NOT REFI - no monthly savings",IF(F6&lt;=G6,"REFINANCE - breaks even in "&amp;ROUND(F6,0)&amp;" months, within hold horizon","HOLD LOAN - break-even exceeds expected hold period")),"")</f>
        <v/>
      </c>
    </row>
    <row r="7">
      <c r="A7" t="inlineStr">
        <is>
          <t>Oak Ave SFH</t>
        </is>
      </c>
      <c r="B7" t="n">
        <v>950</v>
      </c>
      <c r="C7" t="n">
        <v>920</v>
      </c>
      <c r="D7" t="n">
        <v>5000</v>
      </c>
      <c r="E7">
        <f>IFERROR(B7-C7,"")</f>
        <v/>
      </c>
      <c r="F7">
        <f>IFERROR(IF(E7&lt;=0,9999,D7/E7),"")</f>
        <v/>
      </c>
      <c r="G7" t="n">
        <v>60</v>
      </c>
      <c r="H7">
        <f>IFERROR(IF(E7&lt;=0,"DO NOT REFI - no monthly savings",IF(F7&lt;=G7,"REFINANCE - breaks even in "&amp;ROUND(F7,0)&amp;" months, within hold horizon","HOLD LOAN - break-even exceeds expected hold period")),"")</f>
        <v/>
      </c>
    </row>
    <row r="8">
      <c r="A8" t="inlineStr">
        <is>
          <t>Pine Rd Condo</t>
        </is>
      </c>
      <c r="B8" t="n">
        <v>1100</v>
      </c>
      <c r="C8" t="n">
        <v>940</v>
      </c>
      <c r="D8" t="n">
        <v>6000</v>
      </c>
      <c r="E8">
        <f>IFERROR(B8-C8,"")</f>
        <v/>
      </c>
      <c r="F8">
        <f>IFERROR(IF(E8&lt;=0,9999,D8/E8),"")</f>
        <v/>
      </c>
      <c r="G8" t="n">
        <v>31</v>
      </c>
      <c r="H8">
        <f>IFERROR(IF(E8&lt;=0,"DO NOT REFI - no monthly savings",IF(F8&lt;=G8,"REFINANCE - breaks even in "&amp;ROUND(F8,0)&amp;" months, within hold horizon","HOLD LOAN - break-even exceeds expected hold period")),"")</f>
        <v/>
      </c>
    </row>
    <row r="9">
      <c r="A9" t="inlineStr">
        <is>
          <t>Elm St Rental</t>
        </is>
      </c>
      <c r="B9" t="n">
        <v>1200</v>
      </c>
      <c r="C9" t="n">
        <v>1010</v>
      </c>
      <c r="D9" t="n">
        <v>3800</v>
      </c>
      <c r="E9">
        <f>IFERROR(B9-C9,"")</f>
        <v/>
      </c>
      <c r="F9">
        <f>IFERROR(IF(E9&lt;=0,9999,D9/E9),"")</f>
        <v/>
      </c>
      <c r="G9" t="n">
        <v>48</v>
      </c>
      <c r="H9">
        <f>IFERROR(IF(E9&lt;=0,"DO NOT REFI - no monthly savings",IF(F9&lt;=G9,"REFINANCE - breaks even in "&amp;ROUND(F9,0)&amp;" months, within hold horizon","HOLD LOAN - break-even exceeds expected hold period")),"")</f>
        <v/>
      </c>
    </row>
    <row r="10">
      <c r="E10">
        <f>IFERROR(B10-C10,"")</f>
        <v/>
      </c>
      <c r="F10">
        <f>IFERROR(IF(E10&lt;=0,9999,D10/E10),"")</f>
        <v/>
      </c>
      <c r="H10">
        <f>IFERROR(IF(E10&lt;=0,"DO NOT REFI - no monthly savings",IF(F10&lt;=G10,"REFINANCE - breaks even in "&amp;ROUND(F10,0)&amp;" months, within hold horizon","HOLD LOAN - break-even exceeds expected hold period")),"")</f>
        <v/>
      </c>
    </row>
    <row r="11">
      <c r="E11">
        <f>IFERROR(B11-C11,"")</f>
        <v/>
      </c>
      <c r="F11">
        <f>IFERROR(IF(E11&lt;=0,9999,D11/E11),"")</f>
        <v/>
      </c>
      <c r="H11">
        <f>IFERROR(IF(E11&lt;=0,"DO NOT REFI - no monthly savings",IF(F11&lt;=G11,"REFINANCE - breaks even in "&amp;ROUND(F11,0)&amp;" months, within hold horizon","HOLD LOAN - break-even exceeds expected hold period")),"")</f>
        <v/>
      </c>
    </row>
    <row r="12">
      <c r="E12">
        <f>IFERROR(B12-C12,"")</f>
        <v/>
      </c>
      <c r="F12">
        <f>IFERROR(IF(E12&lt;=0,9999,D12/E12),"")</f>
        <v/>
      </c>
      <c r="H12">
        <f>IFERROR(IF(E12&lt;=0,"DO NOT REFI - no monthly savings",IF(F12&lt;=G12,"REFINANCE - breaks even in "&amp;ROUND(F12,0)&amp;" months, within hold horizon","HOLD LOAN - break-even exceeds expected hold period")),"")</f>
        <v/>
      </c>
    </row>
    <row r="13">
      <c r="E13">
        <f>IFERROR(B13-C13,"")</f>
        <v/>
      </c>
      <c r="F13">
        <f>IFERROR(IF(E13&lt;=0,9999,D13/E13),"")</f>
        <v/>
      </c>
      <c r="H13">
        <f>IFERROR(IF(E13&lt;=0,"DO NOT REFI - no monthly savings",IF(F13&lt;=G13,"REFINANCE - breaks even in "&amp;ROUND(F13,0)&amp;" months, within hold horizon","HOLD LOAN - break-even exceeds expected hold period")),"")</f>
        <v/>
      </c>
    </row>
    <row r="14">
      <c r="E14">
        <f>IFERROR(B14-C14,"")</f>
        <v/>
      </c>
      <c r="F14">
        <f>IFERROR(IF(E14&lt;=0,9999,D14/E14),"")</f>
        <v/>
      </c>
      <c r="H14">
        <f>IFERROR(IF(E14&lt;=0,"DO NOT REFI - no monthly savings",IF(F14&lt;=G14,"REFINANCE - breaks even in "&amp;ROUND(F14,0)&amp;" months, within hold horizon","HOLD LOAN - break-even exceeds expected hold period")),"")</f>
        <v/>
      </c>
    </row>
    <row r="15">
      <c r="E15">
        <f>IFERROR(B15-C15,"")</f>
        <v/>
      </c>
      <c r="F15">
        <f>IFERROR(IF(E15&lt;=0,9999,D15/E15),"")</f>
        <v/>
      </c>
      <c r="H15">
        <f>IFERROR(IF(E15&lt;=0,"DO NOT REFI - no monthly savings",IF(F15&lt;=G15,"REFINANCE - breaks even in "&amp;ROUND(F15,0)&amp;" months, within hold horizon","HOLD LOAN - break-even exceeds expected hold period")),"")</f>
        <v/>
      </c>
    </row>
    <row r="16">
      <c r="E16">
        <f>IFERROR(B16-C16,"")</f>
        <v/>
      </c>
      <c r="F16">
        <f>IFERROR(IF(E16&lt;=0,9999,D16/E16),"")</f>
        <v/>
      </c>
      <c r="H16">
        <f>IFERROR(IF(E16&lt;=0,"DO NOT REFI - no monthly savings",IF(F16&lt;=G16,"REFINANCE - breaks even in "&amp;ROUND(F16,0)&amp;" months, within hold horizon","HOLD LOAN - break-even exceeds expected hold period")),"")</f>
        <v/>
      </c>
    </row>
    <row r="17">
      <c r="E17">
        <f>IFERROR(B17-C17,"")</f>
        <v/>
      </c>
      <c r="F17">
        <f>IFERROR(IF(E17&lt;=0,9999,D17/E17),"")</f>
        <v/>
      </c>
      <c r="H17">
        <f>IFERROR(IF(E17&lt;=0,"DO NOT REFI - no monthly savings",IF(F17&lt;=G17,"REFINANCE - breaks even in "&amp;ROUND(F17,0)&amp;" months, within hold horizon","HOLD LOAN - break-even exceeds expected hold period")),"")</f>
        <v/>
      </c>
    </row>
    <row r="18">
      <c r="E18">
        <f>IFERROR(B18-C18,"")</f>
        <v/>
      </c>
      <c r="F18">
        <f>IFERROR(IF(E18&lt;=0,9999,D18/E18),"")</f>
        <v/>
      </c>
      <c r="H18">
        <f>IFERROR(IF(E18&lt;=0,"DO NOT REFI - no monthly savings",IF(F18&lt;=G18,"REFINANCE - breaks even in "&amp;ROUND(F18,0)&amp;" months, within hold horizon","HOLD LOAN - break-even exceeds expected hold period")),"")</f>
        <v/>
      </c>
    </row>
    <row r="19">
      <c r="E19">
        <f>IFERROR(B19-C19,"")</f>
        <v/>
      </c>
      <c r="F19">
        <f>IFERROR(IF(E19&lt;=0,9999,D19/E19),"")</f>
        <v/>
      </c>
      <c r="H19">
        <f>IFERROR(IF(E19&lt;=0,"DO NOT REFI - no monthly savings",IF(F19&lt;=G19,"REFINANCE - breaks even in "&amp;ROUND(F19,0)&amp;" months, within hold horizon","HOLD LOAN - break-even exceeds expected hold period")),"")</f>
        <v/>
      </c>
    </row>
    <row r="20">
      <c r="E20">
        <f>IFERROR(B20-C20,"")</f>
        <v/>
      </c>
      <c r="F20">
        <f>IFERROR(IF(E20&lt;=0,9999,D20/E20),"")</f>
        <v/>
      </c>
      <c r="H20">
        <f>IFERROR(IF(E20&lt;=0,"DO NOT REFI - no monthly savings",IF(F20&lt;=G20,"REFINANCE - breaks even in "&amp;ROUND(F20,0)&amp;" months, within hold horizon","HOLD LOAN - break-even exceeds expected hold period")),"")</f>
        <v/>
      </c>
    </row>
    <row r="21">
      <c r="E21">
        <f>IFERROR(B21-C21,"")</f>
        <v/>
      </c>
      <c r="F21">
        <f>IFERROR(IF(E21&lt;=0,9999,D21/E21),"")</f>
        <v/>
      </c>
      <c r="H21">
        <f>IFERROR(IF(E21&lt;=0,"DO NOT REFI - no monthly savings",IF(F21&lt;=G21,"REFINANCE - breaks even in "&amp;ROUND(F21,0)&amp;" months, within hold horizon","HOLD LOAN - break-even exceeds expected hold period")),"")</f>
        <v/>
      </c>
    </row>
    <row r="22">
      <c r="E22">
        <f>IFERROR(B22-C22,"")</f>
        <v/>
      </c>
      <c r="F22">
        <f>IFERROR(IF(E22&lt;=0,9999,D22/E22),"")</f>
        <v/>
      </c>
      <c r="H22">
        <f>IFERROR(IF(E22&lt;=0,"DO NOT REFI - no monthly savings",IF(F22&lt;=G22,"REFINANCE - breaks even in "&amp;ROUND(F22,0)&amp;" months, within hold horizon","HOLD LOAN - break-even exceeds expected hold period")),"")</f>
        <v/>
      </c>
    </row>
    <row r="23">
      <c r="E23">
        <f>IFERROR(B23-C23,"")</f>
        <v/>
      </c>
      <c r="F23">
        <f>IFERROR(IF(E23&lt;=0,9999,D23/E23),"")</f>
        <v/>
      </c>
      <c r="H23">
        <f>IFERROR(IF(E23&lt;=0,"DO NOT REFI - no monthly savings",IF(F23&lt;=G23,"REFINANCE - breaks even in "&amp;ROUND(F23,0)&amp;" months, within hold horizon","HOLD LOAN - break-even exceeds expected hold period")),"")</f>
        <v/>
      </c>
    </row>
    <row r="24">
      <c r="E24">
        <f>IFERROR(B24-C24,"")</f>
        <v/>
      </c>
      <c r="F24">
        <f>IFERROR(IF(E24&lt;=0,9999,D24/E24),"")</f>
        <v/>
      </c>
      <c r="H24">
        <f>IFERROR(IF(E24&lt;=0,"DO NOT REFI - no monthly savings",IF(F24&lt;=G24,"REFINANCE - breaks even in "&amp;ROUND(F24,0)&amp;" months, within hold horizon","HOLD LOAN - break-even exceeds expected hold period")),"")</f>
        <v/>
      </c>
    </row>
  </sheetData>
  <mergeCells count="1">
    <mergeCell ref="A1:H3"/>
  </mergeCells>
  <conditionalFormatting sqref="E6:E24">
    <cfRule type="cellIs" priority="1" operator="lessThan" dxfId="0">
      <formula>0</formula>
    </cfRule>
  </conditionalFormatting>
  <conditionalFormatting sqref="F6:F24">
    <cfRule type="cellIs" priority="2" operator="lessThan" dxfId="1">
      <formula>24</formula>
    </cfRule>
    <cfRule type="cellIs" priority="3" operator="greaterThan" dxfId="0">
      <formula>48</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18" customWidth="1" min="2" max="2"/>
    <col width="22" customWidth="1" min="3" max="3"/>
    <col width="16" customWidth="1" min="4" max="4"/>
    <col width="21" customWidth="1" min="5" max="5"/>
    <col width="24" customWidth="1" min="6" max="6"/>
    <col width="17" customWidth="1" min="7" max="7"/>
    <col width="21" customWidth="1" min="8" max="8"/>
  </cols>
  <sheetData>
    <row r="1">
      <c r="A1" s="1" t="inlineStr">
        <is>
          <t>AI INSIGHT SUMMARY:
Under a 2-month vacancy plus a 15% expense spike, the Maple St duplex goes cash-flow negative by $640/month and your reserve covers only 1.8 of those months -- build reserves or refinance before the rate reset. The Oak Ave property survives all three stress scenarios with positive cash flow, so it is your safest hold. Refinancing the Pine Rd variable-rate loan breaks even in 19 months, which is justified given the 31-month average hold horizon. Two of your four properties carry a DSCR below 1.20 under stress, signaling thin margins if a tenant leaves. Equity growth on the Elm St rental now exceeds its trailing cash flow trend, triggering a hold-vs-sell review.</t>
        </is>
      </c>
    </row>
    <row r="2"/>
    <row r="3"/>
    <row r="4"/>
    <row r="5">
      <c r="A5" s="2" t="inlineStr">
        <is>
          <t>Property Name</t>
        </is>
      </c>
      <c r="B5" s="2" t="inlineStr">
        <is>
          <t>Annual Cash Flow</t>
        </is>
      </c>
      <c r="C5" s="2" t="inlineStr">
        <is>
          <t>Annual Equity Growth</t>
        </is>
      </c>
      <c r="D5" s="2" t="inlineStr">
        <is>
          <t>Current Equity</t>
        </is>
      </c>
      <c r="E5" s="2" t="inlineStr">
        <is>
          <t>Total Annual Return</t>
        </is>
      </c>
      <c r="F5" s="2" t="inlineStr">
        <is>
          <t>Cash-on-Equity Yield %</t>
        </is>
      </c>
      <c r="G5" s="2" t="inlineStr">
        <is>
          <t>Cash Flow Trend</t>
        </is>
      </c>
      <c r="H5" s="2" t="inlineStr">
        <is>
          <t>Hold vs Sell Signal</t>
        </is>
      </c>
    </row>
    <row r="6">
      <c r="A6" t="inlineStr">
        <is>
          <t>Maple St Duplex</t>
        </is>
      </c>
      <c r="B6" t="n">
        <v>0</v>
      </c>
      <c r="C6" t="n">
        <v>9600</v>
      </c>
      <c r="D6" t="n">
        <v>80000</v>
      </c>
      <c r="E6">
        <f>IFERROR(B6+C6,"")</f>
        <v/>
      </c>
      <c r="F6">
        <f>IFERROR((B6+C6)/D6,"")</f>
        <v/>
      </c>
      <c r="G6" t="n">
        <v>-120</v>
      </c>
      <c r="H6">
        <f>IFERROR(IF(F6&lt;0.04,"SELL CANDIDATE - return on trapped equity below 4%",IF(G6&lt;0,"REVIEW - equity growing but cash flow declining, watch closely","HOLD - healthy combined return")),"")</f>
        <v/>
      </c>
    </row>
    <row r="7">
      <c r="A7" t="inlineStr">
        <is>
          <t>Oak Ave SFH</t>
        </is>
      </c>
      <c r="B7" t="n">
        <v>4200</v>
      </c>
      <c r="C7" t="n">
        <v>7800</v>
      </c>
      <c r="D7" t="n">
        <v>110000</v>
      </c>
      <c r="E7">
        <f>IFERROR(B7+C7,"")</f>
        <v/>
      </c>
      <c r="F7">
        <f>IFERROR((B7+C7)/D7,"")</f>
        <v/>
      </c>
      <c r="G7" t="n">
        <v>40</v>
      </c>
      <c r="H7">
        <f>IFERROR(IF(F7&lt;0.04,"SELL CANDIDATE - return on trapped equity below 4%",IF(G7&lt;0,"REVIEW - equity growing but cash flow declining, watch closely","HOLD - healthy combined return")),"")</f>
        <v/>
      </c>
    </row>
    <row r="8">
      <c r="A8" t="inlineStr">
        <is>
          <t>Pine Rd Condo</t>
        </is>
      </c>
      <c r="B8" t="n">
        <v>-600</v>
      </c>
      <c r="C8" t="n">
        <v>4600</v>
      </c>
      <c r="D8" t="n">
        <v>50000</v>
      </c>
      <c r="E8">
        <f>IFERROR(B8+C8,"")</f>
        <v/>
      </c>
      <c r="F8">
        <f>IFERROR((B8+C8)/D8,"")</f>
        <v/>
      </c>
      <c r="G8" t="n">
        <v>-80</v>
      </c>
      <c r="H8">
        <f>IFERROR(IF(F8&lt;0.04,"SELL CANDIDATE - return on trapped equity below 4%",IF(G8&lt;0,"REVIEW - equity growing but cash flow declining, watch closely","HOLD - healthy combined return")),"")</f>
        <v/>
      </c>
    </row>
    <row r="9">
      <c r="A9" t="inlineStr">
        <is>
          <t>Elm St Rental</t>
        </is>
      </c>
      <c r="B9" t="n">
        <v>2400</v>
      </c>
      <c r="C9" t="n">
        <v>9000</v>
      </c>
      <c r="D9" t="n">
        <v>140000</v>
      </c>
      <c r="E9">
        <f>IFERROR(B9+C9,"")</f>
        <v/>
      </c>
      <c r="F9">
        <f>IFERROR((B9+C9)/D9,"")</f>
        <v/>
      </c>
      <c r="G9" t="n">
        <v>30</v>
      </c>
      <c r="H9">
        <f>IFERROR(IF(F9&lt;0.04,"SELL CANDIDATE - return on trapped equity below 4%",IF(G9&lt;0,"REVIEW - equity growing but cash flow declining, watch closely","HOLD - healthy combined return")),"")</f>
        <v/>
      </c>
    </row>
    <row r="10">
      <c r="E10">
        <f>IFERROR(B10+C10,"")</f>
        <v/>
      </c>
      <c r="F10">
        <f>IFERROR((B10+C10)/D10,"")</f>
        <v/>
      </c>
      <c r="H10">
        <f>IFERROR(IF(F10&lt;0.04,"SELL CANDIDATE - return on trapped equity below 4%",IF(G10&lt;0,"REVIEW - equity growing but cash flow declining, watch closely","HOLD - healthy combined return")),"")</f>
        <v/>
      </c>
    </row>
    <row r="11">
      <c r="E11">
        <f>IFERROR(B11+C11,"")</f>
        <v/>
      </c>
      <c r="F11">
        <f>IFERROR((B11+C11)/D11,"")</f>
        <v/>
      </c>
      <c r="H11">
        <f>IFERROR(IF(F11&lt;0.04,"SELL CANDIDATE - return on trapped equity below 4%",IF(G11&lt;0,"REVIEW - equity growing but cash flow declining, watch closely","HOLD - healthy combined return")),"")</f>
        <v/>
      </c>
    </row>
    <row r="12">
      <c r="E12">
        <f>IFERROR(B12+C12,"")</f>
        <v/>
      </c>
      <c r="F12">
        <f>IFERROR((B12+C12)/D12,"")</f>
        <v/>
      </c>
      <c r="H12">
        <f>IFERROR(IF(F12&lt;0.04,"SELL CANDIDATE - return on trapped equity below 4%",IF(G12&lt;0,"REVIEW - equity growing but cash flow declining, watch closely","HOLD - healthy combined return")),"")</f>
        <v/>
      </c>
    </row>
    <row r="13">
      <c r="E13">
        <f>IFERROR(B13+C13,"")</f>
        <v/>
      </c>
      <c r="F13">
        <f>IFERROR((B13+C13)/D13,"")</f>
        <v/>
      </c>
      <c r="H13">
        <f>IFERROR(IF(F13&lt;0.04,"SELL CANDIDATE - return on trapped equity below 4%",IF(G13&lt;0,"REVIEW - equity growing but cash flow declining, watch closely","HOLD - healthy combined return")),"")</f>
        <v/>
      </c>
    </row>
    <row r="14">
      <c r="E14">
        <f>IFERROR(B14+C14,"")</f>
        <v/>
      </c>
      <c r="F14">
        <f>IFERROR((B14+C14)/D14,"")</f>
        <v/>
      </c>
      <c r="H14">
        <f>IFERROR(IF(F14&lt;0.04,"SELL CANDIDATE - return on trapped equity below 4%",IF(G14&lt;0,"REVIEW - equity growing but cash flow declining, watch closely","HOLD - healthy combined return")),"")</f>
        <v/>
      </c>
    </row>
    <row r="15">
      <c r="E15">
        <f>IFERROR(B15+C15,"")</f>
        <v/>
      </c>
      <c r="F15">
        <f>IFERROR((B15+C15)/D15,"")</f>
        <v/>
      </c>
      <c r="H15">
        <f>IFERROR(IF(F15&lt;0.04,"SELL CANDIDATE - return on trapped equity below 4%",IF(G15&lt;0,"REVIEW - equity growing but cash flow declining, watch closely","HOLD - healthy combined return")),"")</f>
        <v/>
      </c>
    </row>
    <row r="16">
      <c r="E16">
        <f>IFERROR(B16+C16,"")</f>
        <v/>
      </c>
      <c r="F16">
        <f>IFERROR((B16+C16)/D16,"")</f>
        <v/>
      </c>
      <c r="H16">
        <f>IFERROR(IF(F16&lt;0.04,"SELL CANDIDATE - return on trapped equity below 4%",IF(G16&lt;0,"REVIEW - equity growing but cash flow declining, watch closely","HOLD - healthy combined return")),"")</f>
        <v/>
      </c>
    </row>
    <row r="17">
      <c r="E17">
        <f>IFERROR(B17+C17,"")</f>
        <v/>
      </c>
      <c r="F17">
        <f>IFERROR((B17+C17)/D17,"")</f>
        <v/>
      </c>
      <c r="H17">
        <f>IFERROR(IF(F17&lt;0.04,"SELL CANDIDATE - return on trapped equity below 4%",IF(G17&lt;0,"REVIEW - equity growing but cash flow declining, watch closely","HOLD - healthy combined return")),"")</f>
        <v/>
      </c>
    </row>
    <row r="18">
      <c r="E18">
        <f>IFERROR(B18+C18,"")</f>
        <v/>
      </c>
      <c r="F18">
        <f>IFERROR((B18+C18)/D18,"")</f>
        <v/>
      </c>
      <c r="H18">
        <f>IFERROR(IF(F18&lt;0.04,"SELL CANDIDATE - return on trapped equity below 4%",IF(G18&lt;0,"REVIEW - equity growing but cash flow declining, watch closely","HOLD - healthy combined return")),"")</f>
        <v/>
      </c>
    </row>
    <row r="19">
      <c r="E19">
        <f>IFERROR(B19+C19,"")</f>
        <v/>
      </c>
      <c r="F19">
        <f>IFERROR((B19+C19)/D19,"")</f>
        <v/>
      </c>
      <c r="H19">
        <f>IFERROR(IF(F19&lt;0.04,"SELL CANDIDATE - return on trapped equity below 4%",IF(G19&lt;0,"REVIEW - equity growing but cash flow declining, watch closely","HOLD - healthy combined return")),"")</f>
        <v/>
      </c>
    </row>
    <row r="20">
      <c r="E20">
        <f>IFERROR(B20+C20,"")</f>
        <v/>
      </c>
      <c r="F20">
        <f>IFERROR((B20+C20)/D20,"")</f>
        <v/>
      </c>
      <c r="H20">
        <f>IFERROR(IF(F20&lt;0.04,"SELL CANDIDATE - return on trapped equity below 4%",IF(G20&lt;0,"REVIEW - equity growing but cash flow declining, watch closely","HOLD - healthy combined return")),"")</f>
        <v/>
      </c>
    </row>
    <row r="21">
      <c r="E21">
        <f>IFERROR(B21+C21,"")</f>
        <v/>
      </c>
      <c r="F21">
        <f>IFERROR((B21+C21)/D21,"")</f>
        <v/>
      </c>
      <c r="H21">
        <f>IFERROR(IF(F21&lt;0.04,"SELL CANDIDATE - return on trapped equity below 4%",IF(G21&lt;0,"REVIEW - equity growing but cash flow declining, watch closely","HOLD - healthy combined return")),"")</f>
        <v/>
      </c>
    </row>
    <row r="22">
      <c r="E22">
        <f>IFERROR(B22+C22,"")</f>
        <v/>
      </c>
      <c r="F22">
        <f>IFERROR((B22+C22)/D22,"")</f>
        <v/>
      </c>
      <c r="H22">
        <f>IFERROR(IF(F22&lt;0.04,"SELL CANDIDATE - return on trapped equity below 4%",IF(G22&lt;0,"REVIEW - equity growing but cash flow declining, watch closely","HOLD - healthy combined return")),"")</f>
        <v/>
      </c>
    </row>
    <row r="23">
      <c r="E23">
        <f>IFERROR(B23+C23,"")</f>
        <v/>
      </c>
      <c r="F23">
        <f>IFERROR((B23+C23)/D23,"")</f>
        <v/>
      </c>
      <c r="H23">
        <f>IFERROR(IF(F23&lt;0.04,"SELL CANDIDATE - return on trapped equity below 4%",IF(G23&lt;0,"REVIEW - equity growing but cash flow declining, watch closely","HOLD - healthy combined return")),"")</f>
        <v/>
      </c>
    </row>
    <row r="24">
      <c r="E24">
        <f>IFERROR(B24+C24,"")</f>
        <v/>
      </c>
      <c r="F24">
        <f>IFERROR((B24+C24)/D24,"")</f>
        <v/>
      </c>
      <c r="H24">
        <f>IFERROR(IF(F24&lt;0.04,"SELL CANDIDATE - return on trapped equity below 4%",IF(G24&lt;0,"REVIEW - equity growing but cash flow declining, watch closely","HOLD - healthy combined return")),"")</f>
        <v/>
      </c>
    </row>
  </sheetData>
  <mergeCells count="1">
    <mergeCell ref="A1:H3"/>
  </mergeCells>
  <conditionalFormatting sqref="F6:F24">
    <cfRule type="cellIs" priority="1" operator="lessThan" dxfId="0">
      <formula>0.04</formula>
    </cfRule>
    <cfRule type="cellIs" priority="2" operator="greaterThan" dxfId="1">
      <formula>0.08</formula>
    </cfRule>
  </conditionalFormatting>
  <conditionalFormatting sqref="G6:G24">
    <cfRule type="cellIs" priority="3" operator="lessThan" dxfId="2">
      <formula>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2026-06-29T02:45:15Z</dcterms:created>
  <dcterms:modified xsi:type="dcterms:W3CDTF">2026-06-29T03:44:05Z</dcterms:modified>
</cp:coreProperties>
</file>