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 Scorecard" sheetId="1" state="visible" r:id="rId1"/>
    <sheet name="Rework Calculator" sheetId="2" state="visible" r:id="rId2"/>
    <sheet name="Team Ran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6" customWidth="1" min="5" max="5"/>
    <col width="16" customWidth="1" min="6" max="6"/>
    <col width="18" customWidth="1" min="7" max="7"/>
    <col width="19" customWidth="1" min="8" max="8"/>
    <col width="17" customWidth="1" min="9" max="9"/>
    <col width="22" customWidth="1" min="10" max="10"/>
    <col width="16" customWidth="1" min="11" max="11"/>
    <col width="18" customWidth="1" min="12" max="12"/>
    <col width="16" customWidth="1" min="13" max="13"/>
    <col width="21" customWidth="1" min="14" max="14"/>
    <col width="21" customWidth="1" min="15" max="15"/>
    <col width="16" customWidth="1" min="16" max="16"/>
  </cols>
  <sheetData>
    <row r="1">
      <c r="A1" s="1" t="inlineStr">
        <is>
          <t>AI INSIGHT SUMMARY:
Marcus bills 71% of paid hours and generates $34/hr in net profit -- your top performer; a $3/hr raise still leaves a 9:1 ROI, so protect this seat. Dale bills only 48% with a 19% callback rate costing $4,100 in unbilled return trips, putting his seat at a net loss -- coach on first-time-fix within 30 days or replacement breakeven is reached in 7 weeks. Across the team, your bottom two techs erase 31% of the profit your top two generate. Sort the Team Ranking tab by Wage-to-Value Ratio and act on every CUT verdict before next payroll.</t>
        </is>
      </c>
    </row>
    <row r="2"/>
    <row r="3"/>
    <row r="4"/>
    <row r="5">
      <c r="A5" s="2" t="inlineStr">
        <is>
          <t>Technician</t>
        </is>
      </c>
      <c r="B5" s="2" t="inlineStr">
        <is>
          <t>Hourly Wage</t>
        </is>
      </c>
      <c r="C5" s="2" t="inlineStr">
        <is>
          <t>Burden Rate %</t>
        </is>
      </c>
      <c r="D5" s="2" t="inlineStr">
        <is>
          <t>Loaded Hourly Cost</t>
        </is>
      </c>
      <c r="E5" s="2" t="inlineStr">
        <is>
          <t>Paid Hours</t>
        </is>
      </c>
      <c r="F5" s="2" t="inlineStr">
        <is>
          <t>Billable Hours</t>
        </is>
      </c>
      <c r="G5" s="2" t="inlineStr">
        <is>
          <t>Billable Ratio %</t>
        </is>
      </c>
      <c r="H5" s="2" t="inlineStr">
        <is>
          <t>Revenue Generated</t>
        </is>
      </c>
      <c r="I5" s="2" t="inlineStr">
        <is>
          <t>Callback Rate %</t>
        </is>
      </c>
      <c r="J5" s="2" t="inlineStr">
        <is>
          <t>Avg Return Trip Cost</t>
        </is>
      </c>
      <c r="K5" s="2" t="inlineStr">
        <is>
          <t>Rework Cost</t>
        </is>
      </c>
      <c r="L5" s="2" t="inlineStr">
        <is>
          <t>Total Labor Cost</t>
        </is>
      </c>
      <c r="M5" s="2" t="inlineStr">
        <is>
          <t>Net Profit</t>
        </is>
      </c>
      <c r="N5" s="2" t="inlineStr">
        <is>
          <t>Net Profit Per Hour</t>
        </is>
      </c>
      <c r="O5" s="2" t="inlineStr">
        <is>
          <t>Wage-to-Value Ratio</t>
        </is>
      </c>
      <c r="P5" s="2" t="inlineStr">
        <is>
          <t>Verdict</t>
        </is>
      </c>
    </row>
    <row r="6">
      <c r="A6" t="inlineStr">
        <is>
          <t>Marcus</t>
        </is>
      </c>
      <c r="B6" t="n">
        <v>28</v>
      </c>
      <c r="C6" t="n">
        <v>0.35</v>
      </c>
      <c r="D6">
        <f>IFERROR(B6*(1+C6),"")</f>
        <v/>
      </c>
      <c r="E6" t="n">
        <v>160</v>
      </c>
      <c r="F6" t="n">
        <v>114</v>
      </c>
      <c r="G6">
        <f>IFERROR(IF(E6=0,0,F6/E6),"")</f>
        <v/>
      </c>
      <c r="H6" t="n">
        <v>11400</v>
      </c>
      <c r="I6" t="n">
        <v>0.04</v>
      </c>
      <c r="J6" t="n">
        <v>320</v>
      </c>
      <c r="K6">
        <f>IFERROR(I6*F6*J6,"")</f>
        <v/>
      </c>
      <c r="L6">
        <f>IFERROR((D6*E6)+K6,"")</f>
        <v/>
      </c>
      <c r="M6">
        <f>IFERROR(H6-L6,"")</f>
        <v/>
      </c>
      <c r="N6">
        <f>IFERROR(IF(E6=0,0,M6/E6),"")</f>
        <v/>
      </c>
      <c r="O6">
        <f>IFERROR(IF(L6=0,0,H6/L6),"")</f>
        <v/>
      </c>
      <c r="P6">
        <f>IFERROR(IF(N6&lt;0,"CUT - seat loses money",IF(OR(G6&lt;0.55,I6&gt;0.12),"COACH - fix billable/callbacks",IF(O6&gt;2.5,"KEEP &amp; RAISE - top performer","KEEP - economical"))),"")</f>
        <v/>
      </c>
    </row>
    <row r="7">
      <c r="A7" t="inlineStr">
        <is>
          <t>Dale</t>
        </is>
      </c>
      <c r="B7" t="n">
        <v>24</v>
      </c>
      <c r="C7" t="n">
        <v>0.35</v>
      </c>
      <c r="D7">
        <f>IFERROR(B7*(1+C7),"")</f>
        <v/>
      </c>
      <c r="E7" t="n">
        <v>160</v>
      </c>
      <c r="F7" t="n">
        <v>77</v>
      </c>
      <c r="G7">
        <f>IFERROR(IF(E7=0,0,F7/E7),"")</f>
        <v/>
      </c>
      <c r="H7" t="n">
        <v>5800</v>
      </c>
      <c r="I7" t="n">
        <v>0.19</v>
      </c>
      <c r="J7" t="n">
        <v>280</v>
      </c>
      <c r="K7">
        <f>IFERROR(I7*F7*J7,"")</f>
        <v/>
      </c>
      <c r="L7">
        <f>IFERROR((D7*E7)+K7,"")</f>
        <v/>
      </c>
      <c r="M7">
        <f>IFERROR(H7-L7,"")</f>
        <v/>
      </c>
      <c r="N7">
        <f>IFERROR(IF(E7=0,0,M7/E7),"")</f>
        <v/>
      </c>
      <c r="O7">
        <f>IFERROR(IF(L7=0,0,H7/L7),"")</f>
        <v/>
      </c>
      <c r="P7">
        <f>IFERROR(IF(N7&lt;0,"CUT - seat loses money",IF(OR(G7&lt;0.55,I7&gt;0.12),"COACH - fix billable/callbacks",IF(O7&gt;2.5,"KEEP &amp; RAISE - top performer","KEEP - economical"))),"")</f>
        <v/>
      </c>
    </row>
    <row r="8">
      <c r="A8" t="inlineStr">
        <is>
          <t>Rosa</t>
        </is>
      </c>
      <c r="B8" t="n">
        <v>26</v>
      </c>
      <c r="C8" t="n">
        <v>0.35</v>
      </c>
      <c r="D8">
        <f>IFERROR(B8*(1+C8),"")</f>
        <v/>
      </c>
      <c r="E8" t="n">
        <v>160</v>
      </c>
      <c r="F8" t="n">
        <v>102</v>
      </c>
      <c r="G8">
        <f>IFERROR(IF(E8=0,0,F8/E8),"")</f>
        <v/>
      </c>
      <c r="H8" t="n">
        <v>9600</v>
      </c>
      <c r="I8" t="n">
        <v>0.07000000000000001</v>
      </c>
      <c r="J8" t="n">
        <v>300</v>
      </c>
      <c r="K8">
        <f>IFERROR(I8*F8*J8,"")</f>
        <v/>
      </c>
      <c r="L8">
        <f>IFERROR((D8*E8)+K8,"")</f>
        <v/>
      </c>
      <c r="M8">
        <f>IFERROR(H8-L8,"")</f>
        <v/>
      </c>
      <c r="N8">
        <f>IFERROR(IF(E8=0,0,M8/E8),"")</f>
        <v/>
      </c>
      <c r="O8">
        <f>IFERROR(IF(L8=0,0,H8/L8),"")</f>
        <v/>
      </c>
      <c r="P8">
        <f>IFERROR(IF(N8&lt;0,"CUT - seat loses money",IF(OR(G8&lt;0.55,I8&gt;0.12),"COACH - fix billable/callbacks",IF(O8&gt;2.5,"KEEP &amp; RAISE - top performer","KEEP - economical"))),"")</f>
        <v/>
      </c>
    </row>
    <row r="9">
      <c r="A9" t="inlineStr">
        <is>
          <t>Tyrell</t>
        </is>
      </c>
      <c r="B9" t="n">
        <v>22</v>
      </c>
      <c r="C9" t="n">
        <v>0.35</v>
      </c>
      <c r="D9">
        <f>IFERROR(B9*(1+C9),"")</f>
        <v/>
      </c>
      <c r="E9" t="n">
        <v>160</v>
      </c>
      <c r="F9" t="n">
        <v>88</v>
      </c>
      <c r="G9">
        <f>IFERROR(IF(E9=0,0,F9/E9),"")</f>
        <v/>
      </c>
      <c r="H9" t="n">
        <v>6900</v>
      </c>
      <c r="I9" t="n">
        <v>0.14</v>
      </c>
      <c r="J9" t="n">
        <v>290</v>
      </c>
      <c r="K9">
        <f>IFERROR(I9*F9*J9,"")</f>
        <v/>
      </c>
      <c r="L9">
        <f>IFERROR((D9*E9)+K9,"")</f>
        <v/>
      </c>
      <c r="M9">
        <f>IFERROR(H9-L9,"")</f>
        <v/>
      </c>
      <c r="N9">
        <f>IFERROR(IF(E9=0,0,M9/E9),"")</f>
        <v/>
      </c>
      <c r="O9">
        <f>IFERROR(IF(L9=0,0,H9/L9),"")</f>
        <v/>
      </c>
      <c r="P9">
        <f>IFERROR(IF(N9&lt;0,"CUT - seat loses money",IF(OR(G9&lt;0.55,I9&gt;0.12),"COACH - fix billable/callbacks",IF(O9&gt;2.5,"KEEP &amp; RAISE - top performer","KEEP - economical"))),"")</f>
        <v/>
      </c>
    </row>
    <row r="10">
      <c r="A10" t="inlineStr">
        <is>
          <t>Priya</t>
        </is>
      </c>
      <c r="B10" t="n">
        <v>30</v>
      </c>
      <c r="C10" t="n">
        <v>0.35</v>
      </c>
      <c r="D10">
        <f>IFERROR(B10*(1+C10),"")</f>
        <v/>
      </c>
      <c r="E10" t="n">
        <v>160</v>
      </c>
      <c r="F10" t="n">
        <v>120</v>
      </c>
      <c r="G10">
        <f>IFERROR(IF(E10=0,0,F10/E10),"")</f>
        <v/>
      </c>
      <c r="H10" t="n">
        <v>13200</v>
      </c>
      <c r="I10" t="n">
        <v>0.03</v>
      </c>
      <c r="J10" t="n">
        <v>350</v>
      </c>
      <c r="K10">
        <f>IFERROR(I10*F10*J10,"")</f>
        <v/>
      </c>
      <c r="L10">
        <f>IFERROR((D10*E10)+K10,"")</f>
        <v/>
      </c>
      <c r="M10">
        <f>IFERROR(H10-L10,"")</f>
        <v/>
      </c>
      <c r="N10">
        <f>IFERROR(IF(E10=0,0,M10/E10),"")</f>
        <v/>
      </c>
      <c r="O10">
        <f>IFERROR(IF(L10=0,0,H10/L10),"")</f>
        <v/>
      </c>
      <c r="P10">
        <f>IFERROR(IF(N10&lt;0,"CUT - seat loses money",IF(OR(G10&lt;0.55,I10&gt;0.12),"COACH - fix billable/callbacks",IF(O10&gt;2.5,"KEEP &amp; RAISE - top performer","KEEP - economical"))),"")</f>
        <v/>
      </c>
    </row>
    <row r="11">
      <c r="D11">
        <f>IFERROR(B11*(1+C11),"")</f>
        <v/>
      </c>
      <c r="G11">
        <f>IFERROR(IF(E11=0,0,F11/E11),"")</f>
        <v/>
      </c>
      <c r="K11">
        <f>IFERROR(I11*F11*J11,"")</f>
        <v/>
      </c>
      <c r="L11">
        <f>IFERROR((D11*E11)+K11,"")</f>
        <v/>
      </c>
      <c r="M11">
        <f>IFERROR(H11-L11,"")</f>
        <v/>
      </c>
      <c r="N11">
        <f>IFERROR(IF(E11=0,0,M11/E11),"")</f>
        <v/>
      </c>
      <c r="O11">
        <f>IFERROR(IF(L11=0,0,H11/L11),"")</f>
        <v/>
      </c>
      <c r="P11">
        <f>IFERROR(IF(N11&lt;0,"CUT - seat loses money",IF(OR(G11&lt;0.55,I11&gt;0.12),"COACH - fix billable/callbacks",IF(O11&gt;2.5,"KEEP &amp; RAISE - top performer","KEEP - economical"))),"")</f>
        <v/>
      </c>
    </row>
    <row r="12">
      <c r="D12">
        <f>IFERROR(B12*(1+C12),"")</f>
        <v/>
      </c>
      <c r="G12">
        <f>IFERROR(IF(E12=0,0,F12/E12),"")</f>
        <v/>
      </c>
      <c r="K12">
        <f>IFERROR(I12*F12*J12,"")</f>
        <v/>
      </c>
      <c r="L12">
        <f>IFERROR((D12*E12)+K12,"")</f>
        <v/>
      </c>
      <c r="M12">
        <f>IFERROR(H12-L12,"")</f>
        <v/>
      </c>
      <c r="N12">
        <f>IFERROR(IF(E12=0,0,M12/E12),"")</f>
        <v/>
      </c>
      <c r="O12">
        <f>IFERROR(IF(L12=0,0,H12/L12),"")</f>
        <v/>
      </c>
      <c r="P12">
        <f>IFERROR(IF(N12&lt;0,"CUT - seat loses money",IF(OR(G12&lt;0.55,I12&gt;0.12),"COACH - fix billable/callbacks",IF(O12&gt;2.5,"KEEP &amp; RAISE - top performer","KEEP - economical"))),"")</f>
        <v/>
      </c>
    </row>
    <row r="13">
      <c r="D13">
        <f>IFERROR(B13*(1+C13),"")</f>
        <v/>
      </c>
      <c r="G13">
        <f>IFERROR(IF(E13=0,0,F13/E13),"")</f>
        <v/>
      </c>
      <c r="K13">
        <f>IFERROR(I13*F13*J13,"")</f>
        <v/>
      </c>
      <c r="L13">
        <f>IFERROR((D13*E13)+K13,"")</f>
        <v/>
      </c>
      <c r="M13">
        <f>IFERROR(H13-L13,"")</f>
        <v/>
      </c>
      <c r="N13">
        <f>IFERROR(IF(E13=0,0,M13/E13),"")</f>
        <v/>
      </c>
      <c r="O13">
        <f>IFERROR(IF(L13=0,0,H13/L13),"")</f>
        <v/>
      </c>
      <c r="P13">
        <f>IFERROR(IF(N13&lt;0,"CUT - seat loses money",IF(OR(G13&lt;0.55,I13&gt;0.12),"COACH - fix billable/callbacks",IF(O13&gt;2.5,"KEEP &amp; RAISE - top performer","KEEP - economical"))),"")</f>
        <v/>
      </c>
    </row>
    <row r="14">
      <c r="D14">
        <f>IFERROR(B14*(1+C14),"")</f>
        <v/>
      </c>
      <c r="G14">
        <f>IFERROR(IF(E14=0,0,F14/E14),"")</f>
        <v/>
      </c>
      <c r="K14">
        <f>IFERROR(I14*F14*J14,"")</f>
        <v/>
      </c>
      <c r="L14">
        <f>IFERROR((D14*E14)+K14,"")</f>
        <v/>
      </c>
      <c r="M14">
        <f>IFERROR(H14-L14,"")</f>
        <v/>
      </c>
      <c r="N14">
        <f>IFERROR(IF(E14=0,0,M14/E14),"")</f>
        <v/>
      </c>
      <c r="O14">
        <f>IFERROR(IF(L14=0,0,H14/L14),"")</f>
        <v/>
      </c>
      <c r="P14">
        <f>IFERROR(IF(N14&lt;0,"CUT - seat loses money",IF(OR(G14&lt;0.55,I14&gt;0.12),"COACH - fix billable/callbacks",IF(O14&gt;2.5,"KEEP &amp; RAISE - top performer","KEEP - economical"))),"")</f>
        <v/>
      </c>
    </row>
    <row r="15">
      <c r="D15">
        <f>IFERROR(B15*(1+C15),"")</f>
        <v/>
      </c>
      <c r="G15">
        <f>IFERROR(IF(E15=0,0,F15/E15),"")</f>
        <v/>
      </c>
      <c r="K15">
        <f>IFERROR(I15*F15*J15,"")</f>
        <v/>
      </c>
      <c r="L15">
        <f>IFERROR((D15*E15)+K15,"")</f>
        <v/>
      </c>
      <c r="M15">
        <f>IFERROR(H15-L15,"")</f>
        <v/>
      </c>
      <c r="N15">
        <f>IFERROR(IF(E15=0,0,M15/E15),"")</f>
        <v/>
      </c>
      <c r="O15">
        <f>IFERROR(IF(L15=0,0,H15/L15),"")</f>
        <v/>
      </c>
      <c r="P15">
        <f>IFERROR(IF(N15&lt;0,"CUT - seat loses money",IF(OR(G15&lt;0.55,I15&gt;0.12),"COACH - fix billable/callbacks",IF(O15&gt;2.5,"KEEP &amp; RAISE - top performer","KEEP - economical"))),"")</f>
        <v/>
      </c>
    </row>
    <row r="16">
      <c r="D16">
        <f>IFERROR(B16*(1+C16),"")</f>
        <v/>
      </c>
      <c r="G16">
        <f>IFERROR(IF(E16=0,0,F16/E16),"")</f>
        <v/>
      </c>
      <c r="K16">
        <f>IFERROR(I16*F16*J16,"")</f>
        <v/>
      </c>
      <c r="L16">
        <f>IFERROR((D16*E16)+K16,"")</f>
        <v/>
      </c>
      <c r="M16">
        <f>IFERROR(H16-L16,"")</f>
        <v/>
      </c>
      <c r="N16">
        <f>IFERROR(IF(E16=0,0,M16/E16),"")</f>
        <v/>
      </c>
      <c r="O16">
        <f>IFERROR(IF(L16=0,0,H16/L16),"")</f>
        <v/>
      </c>
      <c r="P16">
        <f>IFERROR(IF(N16&lt;0,"CUT - seat loses money",IF(OR(G16&lt;0.55,I16&gt;0.12),"COACH - fix billable/callbacks",IF(O16&gt;2.5,"KEEP &amp; RAISE - top performer","KEEP - economical"))),"")</f>
        <v/>
      </c>
    </row>
    <row r="17">
      <c r="D17">
        <f>IFERROR(B17*(1+C17),"")</f>
        <v/>
      </c>
      <c r="G17">
        <f>IFERROR(IF(E17=0,0,F17/E17),"")</f>
        <v/>
      </c>
      <c r="K17">
        <f>IFERROR(I17*F17*J17,"")</f>
        <v/>
      </c>
      <c r="L17">
        <f>IFERROR((D17*E17)+K17,"")</f>
        <v/>
      </c>
      <c r="M17">
        <f>IFERROR(H17-L17,"")</f>
        <v/>
      </c>
      <c r="N17">
        <f>IFERROR(IF(E17=0,0,M17/E17),"")</f>
        <v/>
      </c>
      <c r="O17">
        <f>IFERROR(IF(L17=0,0,H17/L17),"")</f>
        <v/>
      </c>
      <c r="P17">
        <f>IFERROR(IF(N17&lt;0,"CUT - seat loses money",IF(OR(G17&lt;0.55,I17&gt;0.12),"COACH - fix billable/callbacks",IF(O17&gt;2.5,"KEEP &amp; RAISE - top performer","KEEP - economical"))),"")</f>
        <v/>
      </c>
    </row>
    <row r="18">
      <c r="D18">
        <f>IFERROR(B18*(1+C18),"")</f>
        <v/>
      </c>
      <c r="G18">
        <f>IFERROR(IF(E18=0,0,F18/E18),"")</f>
        <v/>
      </c>
      <c r="K18">
        <f>IFERROR(I18*F18*J18,"")</f>
        <v/>
      </c>
      <c r="L18">
        <f>IFERROR((D18*E18)+K18,"")</f>
        <v/>
      </c>
      <c r="M18">
        <f>IFERROR(H18-L18,"")</f>
        <v/>
      </c>
      <c r="N18">
        <f>IFERROR(IF(E18=0,0,M18/E18),"")</f>
        <v/>
      </c>
      <c r="O18">
        <f>IFERROR(IF(L18=0,0,H18/L18),"")</f>
        <v/>
      </c>
      <c r="P18">
        <f>IFERROR(IF(N18&lt;0,"CUT - seat loses money",IF(OR(G18&lt;0.55,I18&gt;0.12),"COACH - fix billable/callbacks",IF(O18&gt;2.5,"KEEP &amp; RAISE - top performer","KEEP - economical"))),"")</f>
        <v/>
      </c>
    </row>
    <row r="19">
      <c r="D19">
        <f>IFERROR(B19*(1+C19),"")</f>
        <v/>
      </c>
      <c r="G19">
        <f>IFERROR(IF(E19=0,0,F19/E19),"")</f>
        <v/>
      </c>
      <c r="K19">
        <f>IFERROR(I19*F19*J19,"")</f>
        <v/>
      </c>
      <c r="L19">
        <f>IFERROR((D19*E19)+K19,"")</f>
        <v/>
      </c>
      <c r="M19">
        <f>IFERROR(H19-L19,"")</f>
        <v/>
      </c>
      <c r="N19">
        <f>IFERROR(IF(E19=0,0,M19/E19),"")</f>
        <v/>
      </c>
      <c r="O19">
        <f>IFERROR(IF(L19=0,0,H19/L19),"")</f>
        <v/>
      </c>
      <c r="P19">
        <f>IFERROR(IF(N19&lt;0,"CUT - seat loses money",IF(OR(G19&lt;0.55,I19&gt;0.12),"COACH - fix billable/callbacks",IF(O19&gt;2.5,"KEEP &amp; RAISE - top performer","KEEP - economical"))),"")</f>
        <v/>
      </c>
    </row>
    <row r="20">
      <c r="D20">
        <f>IFERROR(B20*(1+C20),"")</f>
        <v/>
      </c>
      <c r="G20">
        <f>IFERROR(IF(E20=0,0,F20/E20),"")</f>
        <v/>
      </c>
      <c r="K20">
        <f>IFERROR(I20*F20*J20,"")</f>
        <v/>
      </c>
      <c r="L20">
        <f>IFERROR((D20*E20)+K20,"")</f>
        <v/>
      </c>
      <c r="M20">
        <f>IFERROR(H20-L20,"")</f>
        <v/>
      </c>
      <c r="N20">
        <f>IFERROR(IF(E20=0,0,M20/E20),"")</f>
        <v/>
      </c>
      <c r="O20">
        <f>IFERROR(IF(L20=0,0,H20/L20),"")</f>
        <v/>
      </c>
      <c r="P20">
        <f>IFERROR(IF(N20&lt;0,"CUT - seat loses money",IF(OR(G20&lt;0.55,I20&gt;0.12),"COACH - fix billable/callbacks",IF(O20&gt;2.5,"KEEP &amp; RAISE - top performer","KEEP - economical"))),"")</f>
        <v/>
      </c>
    </row>
    <row r="21">
      <c r="D21">
        <f>IFERROR(B21*(1+C21),"")</f>
        <v/>
      </c>
      <c r="G21">
        <f>IFERROR(IF(E21=0,0,F21/E21),"")</f>
        <v/>
      </c>
      <c r="K21">
        <f>IFERROR(I21*F21*J21,"")</f>
        <v/>
      </c>
      <c r="L21">
        <f>IFERROR((D21*E21)+K21,"")</f>
        <v/>
      </c>
      <c r="M21">
        <f>IFERROR(H21-L21,"")</f>
        <v/>
      </c>
      <c r="N21">
        <f>IFERROR(IF(E21=0,0,M21/E21),"")</f>
        <v/>
      </c>
      <c r="O21">
        <f>IFERROR(IF(L21=0,0,H21/L21),"")</f>
        <v/>
      </c>
      <c r="P21">
        <f>IFERROR(IF(N21&lt;0,"CUT - seat loses money",IF(OR(G21&lt;0.55,I21&gt;0.12),"COACH - fix billable/callbacks",IF(O21&gt;2.5,"KEEP &amp; RAISE - top performer","KEEP - economical"))),"")</f>
        <v/>
      </c>
    </row>
    <row r="22">
      <c r="D22">
        <f>IFERROR(B22*(1+C22),"")</f>
        <v/>
      </c>
      <c r="G22">
        <f>IFERROR(IF(E22=0,0,F22/E22),"")</f>
        <v/>
      </c>
      <c r="K22">
        <f>IFERROR(I22*F22*J22,"")</f>
        <v/>
      </c>
      <c r="L22">
        <f>IFERROR((D22*E22)+K22,"")</f>
        <v/>
      </c>
      <c r="M22">
        <f>IFERROR(H22-L22,"")</f>
        <v/>
      </c>
      <c r="N22">
        <f>IFERROR(IF(E22=0,0,M22/E22),"")</f>
        <v/>
      </c>
      <c r="O22">
        <f>IFERROR(IF(L22=0,0,H22/L22),"")</f>
        <v/>
      </c>
      <c r="P22">
        <f>IFERROR(IF(N22&lt;0,"CUT - seat loses money",IF(OR(G22&lt;0.55,I22&gt;0.12),"COACH - fix billable/callbacks",IF(O22&gt;2.5,"KEEP &amp; RAISE - top performer","KEEP - economical"))),"")</f>
        <v/>
      </c>
    </row>
    <row r="23">
      <c r="D23">
        <f>IFERROR(B23*(1+C23),"")</f>
        <v/>
      </c>
      <c r="G23">
        <f>IFERROR(IF(E23=0,0,F23/E23),"")</f>
        <v/>
      </c>
      <c r="K23">
        <f>IFERROR(I23*F23*J23,"")</f>
        <v/>
      </c>
      <c r="L23">
        <f>IFERROR((D23*E23)+K23,"")</f>
        <v/>
      </c>
      <c r="M23">
        <f>IFERROR(H23-L23,"")</f>
        <v/>
      </c>
      <c r="N23">
        <f>IFERROR(IF(E23=0,0,M23/E23),"")</f>
        <v/>
      </c>
      <c r="O23">
        <f>IFERROR(IF(L23=0,0,H23/L23),"")</f>
        <v/>
      </c>
      <c r="P23">
        <f>IFERROR(IF(N23&lt;0,"CUT - seat loses money",IF(OR(G23&lt;0.55,I23&gt;0.12),"COACH - fix billable/callbacks",IF(O23&gt;2.5,"KEEP &amp; RAISE - top performer","KEEP - economical"))),"")</f>
        <v/>
      </c>
    </row>
    <row r="24">
      <c r="D24">
        <f>IFERROR(B24*(1+C24),"")</f>
        <v/>
      </c>
      <c r="G24">
        <f>IFERROR(IF(E24=0,0,F24/E24),"")</f>
        <v/>
      </c>
      <c r="K24">
        <f>IFERROR(I24*F24*J24,"")</f>
        <v/>
      </c>
      <c r="L24">
        <f>IFERROR((D24*E24)+K24,"")</f>
        <v/>
      </c>
      <c r="M24">
        <f>IFERROR(H24-L24,"")</f>
        <v/>
      </c>
      <c r="N24">
        <f>IFERROR(IF(E24=0,0,M24/E24),"")</f>
        <v/>
      </c>
      <c r="O24">
        <f>IFERROR(IF(L24=0,0,H24/L24),"")</f>
        <v/>
      </c>
      <c r="P24">
        <f>IFERROR(IF(N24&lt;0,"CUT - seat loses money",IF(OR(G24&lt;0.55,I24&gt;0.12),"COACH - fix billable/callbacks",IF(O24&gt;2.5,"KEEP &amp; RAISE - top performer","KEEP - economical"))),"")</f>
        <v/>
      </c>
    </row>
    <row r="25">
      <c r="D25">
        <f>IFERROR(B25*(1+C25),"")</f>
        <v/>
      </c>
      <c r="G25">
        <f>IFERROR(IF(E25=0,0,F25/E25),"")</f>
        <v/>
      </c>
      <c r="K25">
        <f>IFERROR(I25*F25*J25,"")</f>
        <v/>
      </c>
      <c r="L25">
        <f>IFERROR((D25*E25)+K25,"")</f>
        <v/>
      </c>
      <c r="M25">
        <f>IFERROR(H25-L25,"")</f>
        <v/>
      </c>
      <c r="N25">
        <f>IFERROR(IF(E25=0,0,M25/E25),"")</f>
        <v/>
      </c>
      <c r="O25">
        <f>IFERROR(IF(L25=0,0,H25/L25),"")</f>
        <v/>
      </c>
      <c r="P25">
        <f>IFERROR(IF(N25&lt;0,"CUT - seat loses money",IF(OR(G25&lt;0.55,I25&gt;0.12),"COACH - fix billable/callbacks",IF(O25&gt;2.5,"KEEP &amp; RAISE - top performer","KEEP - economical"))),"")</f>
        <v/>
      </c>
    </row>
  </sheetData>
  <mergeCells count="1">
    <mergeCell ref="A1:P3"/>
  </mergeCells>
  <conditionalFormatting sqref="G6:G25">
    <cfRule type="cellIs" priority="1" operator="lessThan" dxfId="0">
      <formula>0.55</formula>
    </cfRule>
    <cfRule type="cellIs" priority="2" operator="greaterThan" dxfId="1">
      <formula>0.68</formula>
    </cfRule>
  </conditionalFormatting>
  <conditionalFormatting sqref="I6:I25">
    <cfRule type="cellIs" priority="3" operator="greaterThan" dxfId="0">
      <formula>0.12</formula>
    </cfRule>
  </conditionalFormatting>
  <conditionalFormatting sqref="N6:N25">
    <cfRule type="cellIs" priority="4" operator="lessThan" dxfId="0">
      <formula>0</formula>
    </cfRule>
    <cfRule type="cellIs" priority="5" operator="greaterThan" dxfId="1">
      <formula>25</formula>
    </cfRule>
  </conditionalFormatting>
  <conditionalFormatting sqref="O6:O25">
    <cfRule type="cellIs" priority="6" operator="lessThan" dxfId="0">
      <formula>1</formula>
    </cfRule>
    <cfRule type="cellIs" priority="7" operator="greaterThan" dxfId="1">
      <formula>2.5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3" customWidth="1" min="3" max="3"/>
    <col width="17" customWidth="1" min="4" max="4"/>
    <col width="22" customWidth="1" min="5" max="5"/>
    <col width="20" customWidth="1" min="6" max="6"/>
    <col width="20" customWidth="1" min="7" max="7"/>
    <col width="19" customWidth="1" min="8" max="8"/>
    <col width="19" customWidth="1" min="9" max="9"/>
    <col width="24" customWidth="1" min="10" max="10"/>
    <col width="16" customWidth="1" min="11" max="11"/>
  </cols>
  <sheetData>
    <row r="1">
      <c r="A1" s="1" t="inlineStr">
        <is>
          <t>AI INSIGHT SUMMARY:
Marcus bills 71% of paid hours and generates $34/hr in net profit -- your top performer; a $3/hr raise still leaves a 9:1 ROI, so protect this seat. Dale bills only 48% with a 19% callback rate costing $4,100 in unbilled return trips, putting his seat at a net loss -- coach on first-time-fix within 30 days or replacement breakeven is reached in 7 weeks. Across the team, your bottom two techs erase 31% of the profit your top two generate. Sort the Team Ranking tab by Wage-to-Value Ratio and act on every CUT verdict before next payroll.</t>
        </is>
      </c>
    </row>
    <row r="2"/>
    <row r="3"/>
    <row r="4"/>
    <row r="5">
      <c r="A5" s="2" t="inlineStr">
        <is>
          <t>Technician</t>
        </is>
      </c>
      <c r="B5" s="2" t="inlineStr">
        <is>
          <t>Jobs Completed</t>
        </is>
      </c>
      <c r="C5" s="2" t="inlineStr">
        <is>
          <t>Callbacks This Period</t>
        </is>
      </c>
      <c r="D5" s="2" t="inlineStr">
        <is>
          <t>Callback Rate %</t>
        </is>
      </c>
      <c r="E5" s="2" t="inlineStr">
        <is>
          <t>Avg Hours Per Return</t>
        </is>
      </c>
      <c r="F5" s="2" t="inlineStr">
        <is>
          <t>Loaded Hourly Cost</t>
        </is>
      </c>
      <c r="G5" s="2" t="inlineStr">
        <is>
          <t>Trip Material Cost</t>
        </is>
      </c>
      <c r="H5" s="2" t="inlineStr">
        <is>
          <t>Cost Per Callback</t>
        </is>
      </c>
      <c r="I5" s="2" t="inlineStr">
        <is>
          <t>Total Rework Cost</t>
        </is>
      </c>
      <c r="J5" s="2" t="inlineStr">
        <is>
          <t>Rework as % of Revenue</t>
        </is>
      </c>
      <c r="K5" s="2" t="inlineStr">
        <is>
          <t>Flag</t>
        </is>
      </c>
    </row>
    <row r="6">
      <c r="A6" t="inlineStr">
        <is>
          <t>Marcus</t>
        </is>
      </c>
      <c r="B6" t="n">
        <v>52</v>
      </c>
      <c r="C6" t="n">
        <v>2</v>
      </c>
      <c r="D6">
        <f>IFERROR(IF(B6=0,0,C6/B6),"")</f>
        <v/>
      </c>
      <c r="E6" t="n">
        <v>1.8</v>
      </c>
      <c r="F6" t="n">
        <v>37.8</v>
      </c>
      <c r="G6" t="n">
        <v>45</v>
      </c>
      <c r="H6">
        <f>IFERROR((E6*F6)+G6,"")</f>
        <v/>
      </c>
      <c r="I6">
        <f>IFERROR(C6*H6,"")</f>
        <v/>
      </c>
      <c r="J6">
        <f>IFERROR(IF(B6=0,0,I6/(B6*500)),"")</f>
        <v/>
      </c>
      <c r="K6">
        <f>IFERROR(IF(D6&gt;0.15,"CRITICAL - first-time-fix coaching now",IF(D6&gt;0.08,"WATCH - rising rework","OK")),"")</f>
        <v/>
      </c>
    </row>
    <row r="7">
      <c r="A7" t="inlineStr">
        <is>
          <t>Dale</t>
        </is>
      </c>
      <c r="B7" t="n">
        <v>41</v>
      </c>
      <c r="C7" t="n">
        <v>8</v>
      </c>
      <c r="D7">
        <f>IFERROR(IF(B7=0,0,C7/B7),"")</f>
        <v/>
      </c>
      <c r="E7" t="n">
        <v>2.2</v>
      </c>
      <c r="F7" t="n">
        <v>32.4</v>
      </c>
      <c r="G7" t="n">
        <v>60</v>
      </c>
      <c r="H7">
        <f>IFERROR((E7*F7)+G7,"")</f>
        <v/>
      </c>
      <c r="I7">
        <f>IFERROR(C7*H7,"")</f>
        <v/>
      </c>
      <c r="J7">
        <f>IFERROR(IF(B7=0,0,I7/(B7*500)),"")</f>
        <v/>
      </c>
      <c r="K7">
        <f>IFERROR(IF(D7&gt;0.15,"CRITICAL - first-time-fix coaching now",IF(D7&gt;0.08,"WATCH - rising rework","OK")),"")</f>
        <v/>
      </c>
    </row>
    <row r="8">
      <c r="A8" t="inlineStr">
        <is>
          <t>Rosa</t>
        </is>
      </c>
      <c r="B8" t="n">
        <v>47</v>
      </c>
      <c r="C8" t="n">
        <v>3</v>
      </c>
      <c r="D8">
        <f>IFERROR(IF(B8=0,0,C8/B8),"")</f>
        <v/>
      </c>
      <c r="E8" t="n">
        <v>1.5</v>
      </c>
      <c r="F8" t="n">
        <v>35.1</v>
      </c>
      <c r="G8" t="n">
        <v>50</v>
      </c>
      <c r="H8">
        <f>IFERROR((E8*F8)+G8,"")</f>
        <v/>
      </c>
      <c r="I8">
        <f>IFERROR(C8*H8,"")</f>
        <v/>
      </c>
      <c r="J8">
        <f>IFERROR(IF(B8=0,0,I8/(B8*500)),"")</f>
        <v/>
      </c>
      <c r="K8">
        <f>IFERROR(IF(D8&gt;0.15,"CRITICAL - first-time-fix coaching now",IF(D8&gt;0.08,"WATCH - rising rework","OK")),"")</f>
        <v/>
      </c>
    </row>
    <row r="9">
      <c r="A9" t="inlineStr">
        <is>
          <t>Tyrell</t>
        </is>
      </c>
      <c r="B9" t="n">
        <v>36</v>
      </c>
      <c r="C9" t="n">
        <v>5</v>
      </c>
      <c r="D9">
        <f>IFERROR(IF(B9=0,0,C9/B9),"")</f>
        <v/>
      </c>
      <c r="E9" t="n">
        <v>2</v>
      </c>
      <c r="F9" t="n">
        <v>29.7</v>
      </c>
      <c r="G9" t="n">
        <v>55</v>
      </c>
      <c r="H9">
        <f>IFERROR((E9*F9)+G9,"")</f>
        <v/>
      </c>
      <c r="I9">
        <f>IFERROR(C9*H9,"")</f>
        <v/>
      </c>
      <c r="J9">
        <f>IFERROR(IF(B9=0,0,I9/(B9*500)),"")</f>
        <v/>
      </c>
      <c r="K9">
        <f>IFERROR(IF(D9&gt;0.15,"CRITICAL - first-time-fix coaching now",IF(D9&gt;0.08,"WATCH - rising rework","OK")),"")</f>
        <v/>
      </c>
    </row>
    <row r="10">
      <c r="A10" t="inlineStr">
        <is>
          <t>Priya</t>
        </is>
      </c>
      <c r="B10" t="n">
        <v>55</v>
      </c>
      <c r="C10" t="n">
        <v>2</v>
      </c>
      <c r="D10">
        <f>IFERROR(IF(B10=0,0,C10/B10),"")</f>
        <v/>
      </c>
      <c r="E10" t="n">
        <v>1.6</v>
      </c>
      <c r="F10" t="n">
        <v>40.5</v>
      </c>
      <c r="G10" t="n">
        <v>48</v>
      </c>
      <c r="H10">
        <f>IFERROR((E10*F10)+G10,"")</f>
        <v/>
      </c>
      <c r="I10">
        <f>IFERROR(C10*H10,"")</f>
        <v/>
      </c>
      <c r="J10">
        <f>IFERROR(IF(B10=0,0,I10/(B10*500)),"")</f>
        <v/>
      </c>
      <c r="K10">
        <f>IFERROR(IF(D10&gt;0.15,"CRITICAL - first-time-fix coaching now",IF(D10&gt;0.08,"WATCH - rising rework","OK")),"")</f>
        <v/>
      </c>
    </row>
    <row r="11">
      <c r="D11">
        <f>IFERROR(IF(B11=0,0,C11/B11),"")</f>
        <v/>
      </c>
      <c r="H11">
        <f>IFERROR((E11*F11)+G11,"")</f>
        <v/>
      </c>
      <c r="I11">
        <f>IFERROR(C11*H11,"")</f>
        <v/>
      </c>
      <c r="J11">
        <f>IFERROR(IF(B11=0,0,I11/(B11*500)),"")</f>
        <v/>
      </c>
      <c r="K11">
        <f>IFERROR(IF(D11&gt;0.15,"CRITICAL - first-time-fix coaching now",IF(D11&gt;0.08,"WATCH - rising rework","OK")),"")</f>
        <v/>
      </c>
    </row>
    <row r="12">
      <c r="D12">
        <f>IFERROR(IF(B12=0,0,C12/B12),"")</f>
        <v/>
      </c>
      <c r="H12">
        <f>IFERROR((E12*F12)+G12,"")</f>
        <v/>
      </c>
      <c r="I12">
        <f>IFERROR(C12*H12,"")</f>
        <v/>
      </c>
      <c r="J12">
        <f>IFERROR(IF(B12=0,0,I12/(B12*500)),"")</f>
        <v/>
      </c>
      <c r="K12">
        <f>IFERROR(IF(D12&gt;0.15,"CRITICAL - first-time-fix coaching now",IF(D12&gt;0.08,"WATCH - rising rework","OK")),"")</f>
        <v/>
      </c>
    </row>
    <row r="13">
      <c r="D13">
        <f>IFERROR(IF(B13=0,0,C13/B13),"")</f>
        <v/>
      </c>
      <c r="H13">
        <f>IFERROR((E13*F13)+G13,"")</f>
        <v/>
      </c>
      <c r="I13">
        <f>IFERROR(C13*H13,"")</f>
        <v/>
      </c>
      <c r="J13">
        <f>IFERROR(IF(B13=0,0,I13/(B13*500)),"")</f>
        <v/>
      </c>
      <c r="K13">
        <f>IFERROR(IF(D13&gt;0.15,"CRITICAL - first-time-fix coaching now",IF(D13&gt;0.08,"WATCH - rising rework","OK")),"")</f>
        <v/>
      </c>
    </row>
    <row r="14">
      <c r="D14">
        <f>IFERROR(IF(B14=0,0,C14/B14),"")</f>
        <v/>
      </c>
      <c r="H14">
        <f>IFERROR((E14*F14)+G14,"")</f>
        <v/>
      </c>
      <c r="I14">
        <f>IFERROR(C14*H14,"")</f>
        <v/>
      </c>
      <c r="J14">
        <f>IFERROR(IF(B14=0,0,I14/(B14*500)),"")</f>
        <v/>
      </c>
      <c r="K14">
        <f>IFERROR(IF(D14&gt;0.15,"CRITICAL - first-time-fix coaching now",IF(D14&gt;0.08,"WATCH - rising rework","OK")),"")</f>
        <v/>
      </c>
    </row>
    <row r="15">
      <c r="D15">
        <f>IFERROR(IF(B15=0,0,C15/B15),"")</f>
        <v/>
      </c>
      <c r="H15">
        <f>IFERROR((E15*F15)+G15,"")</f>
        <v/>
      </c>
      <c r="I15">
        <f>IFERROR(C15*H15,"")</f>
        <v/>
      </c>
      <c r="J15">
        <f>IFERROR(IF(B15=0,0,I15/(B15*500)),"")</f>
        <v/>
      </c>
      <c r="K15">
        <f>IFERROR(IF(D15&gt;0.15,"CRITICAL - first-time-fix coaching now",IF(D15&gt;0.08,"WATCH - rising rework","OK")),"")</f>
        <v/>
      </c>
    </row>
    <row r="16">
      <c r="D16">
        <f>IFERROR(IF(B16=0,0,C16/B16),"")</f>
        <v/>
      </c>
      <c r="H16">
        <f>IFERROR((E16*F16)+G16,"")</f>
        <v/>
      </c>
      <c r="I16">
        <f>IFERROR(C16*H16,"")</f>
        <v/>
      </c>
      <c r="J16">
        <f>IFERROR(IF(B16=0,0,I16/(B16*500)),"")</f>
        <v/>
      </c>
      <c r="K16">
        <f>IFERROR(IF(D16&gt;0.15,"CRITICAL - first-time-fix coaching now",IF(D16&gt;0.08,"WATCH - rising rework","OK")),"")</f>
        <v/>
      </c>
    </row>
    <row r="17">
      <c r="D17">
        <f>IFERROR(IF(B17=0,0,C17/B17),"")</f>
        <v/>
      </c>
      <c r="H17">
        <f>IFERROR((E17*F17)+G17,"")</f>
        <v/>
      </c>
      <c r="I17">
        <f>IFERROR(C17*H17,"")</f>
        <v/>
      </c>
      <c r="J17">
        <f>IFERROR(IF(B17=0,0,I17/(B17*500)),"")</f>
        <v/>
      </c>
      <c r="K17">
        <f>IFERROR(IF(D17&gt;0.15,"CRITICAL - first-time-fix coaching now",IF(D17&gt;0.08,"WATCH - rising rework","OK")),"")</f>
        <v/>
      </c>
    </row>
    <row r="18">
      <c r="D18">
        <f>IFERROR(IF(B18=0,0,C18/B18),"")</f>
        <v/>
      </c>
      <c r="H18">
        <f>IFERROR((E18*F18)+G18,"")</f>
        <v/>
      </c>
      <c r="I18">
        <f>IFERROR(C18*H18,"")</f>
        <v/>
      </c>
      <c r="J18">
        <f>IFERROR(IF(B18=0,0,I18/(B18*500)),"")</f>
        <v/>
      </c>
      <c r="K18">
        <f>IFERROR(IF(D18&gt;0.15,"CRITICAL - first-time-fix coaching now",IF(D18&gt;0.08,"WATCH - rising rework","OK")),"")</f>
        <v/>
      </c>
    </row>
    <row r="19">
      <c r="D19">
        <f>IFERROR(IF(B19=0,0,C19/B19),"")</f>
        <v/>
      </c>
      <c r="H19">
        <f>IFERROR((E19*F19)+G19,"")</f>
        <v/>
      </c>
      <c r="I19">
        <f>IFERROR(C19*H19,"")</f>
        <v/>
      </c>
      <c r="J19">
        <f>IFERROR(IF(B19=0,0,I19/(B19*500)),"")</f>
        <v/>
      </c>
      <c r="K19">
        <f>IFERROR(IF(D19&gt;0.15,"CRITICAL - first-time-fix coaching now",IF(D19&gt;0.08,"WATCH - rising rework","OK")),"")</f>
        <v/>
      </c>
    </row>
    <row r="20">
      <c r="D20">
        <f>IFERROR(IF(B20=0,0,C20/B20),"")</f>
        <v/>
      </c>
      <c r="H20">
        <f>IFERROR((E20*F20)+G20,"")</f>
        <v/>
      </c>
      <c r="I20">
        <f>IFERROR(C20*H20,"")</f>
        <v/>
      </c>
      <c r="J20">
        <f>IFERROR(IF(B20=0,0,I20/(B20*500)),"")</f>
        <v/>
      </c>
      <c r="K20">
        <f>IFERROR(IF(D20&gt;0.15,"CRITICAL - first-time-fix coaching now",IF(D20&gt;0.08,"WATCH - rising rework","OK")),"")</f>
        <v/>
      </c>
    </row>
    <row r="21">
      <c r="D21">
        <f>IFERROR(IF(B21=0,0,C21/B21),"")</f>
        <v/>
      </c>
      <c r="H21">
        <f>IFERROR((E21*F21)+G21,"")</f>
        <v/>
      </c>
      <c r="I21">
        <f>IFERROR(C21*H21,"")</f>
        <v/>
      </c>
      <c r="J21">
        <f>IFERROR(IF(B21=0,0,I21/(B21*500)),"")</f>
        <v/>
      </c>
      <c r="K21">
        <f>IFERROR(IF(D21&gt;0.15,"CRITICAL - first-time-fix coaching now",IF(D21&gt;0.08,"WATCH - rising rework","OK")),"")</f>
        <v/>
      </c>
    </row>
    <row r="22">
      <c r="D22">
        <f>IFERROR(IF(B22=0,0,C22/B22),"")</f>
        <v/>
      </c>
      <c r="H22">
        <f>IFERROR((E22*F22)+G22,"")</f>
        <v/>
      </c>
      <c r="I22">
        <f>IFERROR(C22*H22,"")</f>
        <v/>
      </c>
      <c r="J22">
        <f>IFERROR(IF(B22=0,0,I22/(B22*500)),"")</f>
        <v/>
      </c>
      <c r="K22">
        <f>IFERROR(IF(D22&gt;0.15,"CRITICAL - first-time-fix coaching now",IF(D22&gt;0.08,"WATCH - rising rework","OK")),"")</f>
        <v/>
      </c>
    </row>
    <row r="23">
      <c r="D23">
        <f>IFERROR(IF(B23=0,0,C23/B23),"")</f>
        <v/>
      </c>
      <c r="H23">
        <f>IFERROR((E23*F23)+G23,"")</f>
        <v/>
      </c>
      <c r="I23">
        <f>IFERROR(C23*H23,"")</f>
        <v/>
      </c>
      <c r="J23">
        <f>IFERROR(IF(B23=0,0,I23/(B23*500)),"")</f>
        <v/>
      </c>
      <c r="K23">
        <f>IFERROR(IF(D23&gt;0.15,"CRITICAL - first-time-fix coaching now",IF(D23&gt;0.08,"WATCH - rising rework","OK")),"")</f>
        <v/>
      </c>
    </row>
    <row r="24">
      <c r="D24">
        <f>IFERROR(IF(B24=0,0,C24/B24),"")</f>
        <v/>
      </c>
      <c r="H24">
        <f>IFERROR((E24*F24)+G24,"")</f>
        <v/>
      </c>
      <c r="I24">
        <f>IFERROR(C24*H24,"")</f>
        <v/>
      </c>
      <c r="J24">
        <f>IFERROR(IF(B24=0,0,I24/(B24*500)),"")</f>
        <v/>
      </c>
      <c r="K24">
        <f>IFERROR(IF(D24&gt;0.15,"CRITICAL - first-time-fix coaching now",IF(D24&gt;0.08,"WATCH - rising rework","OK")),"")</f>
        <v/>
      </c>
    </row>
    <row r="25">
      <c r="D25">
        <f>IFERROR(IF(B25=0,0,C25/B25),"")</f>
        <v/>
      </c>
      <c r="H25">
        <f>IFERROR((E25*F25)+G25,"")</f>
        <v/>
      </c>
      <c r="I25">
        <f>IFERROR(C25*H25,"")</f>
        <v/>
      </c>
      <c r="J25">
        <f>IFERROR(IF(B25=0,0,I25/(B25*500)),"")</f>
        <v/>
      </c>
      <c r="K25">
        <f>IFERROR(IF(D25&gt;0.15,"CRITICAL - first-time-fix coaching now",IF(D25&gt;0.08,"WATCH - rising rework","OK")),"")</f>
        <v/>
      </c>
    </row>
  </sheetData>
  <mergeCells count="1">
    <mergeCell ref="A1:K3"/>
  </mergeCells>
  <conditionalFormatting sqref="D6:D25">
    <cfRule type="cellIs" priority="1" operator="greaterThan" dxfId="0">
      <formula>0.15</formula>
    </cfRule>
    <cfRule type="cellIs" priority="2" operator="greaterThan" dxfId="2">
      <formula>0.08</formula>
    </cfRule>
  </conditionalFormatting>
  <conditionalFormatting sqref="I6:I25">
    <cfRule type="cellIs" priority="3" operator="greaterThan" dxfId="0">
      <formula>3000</formula>
    </cfRule>
  </conditionalFormatting>
  <conditionalFormatting sqref="J6:J25">
    <cfRule type="cellIs" priority="4" operator="greaterThan" dxfId="0">
      <formula>0.1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21" customWidth="1" min="4" max="4"/>
    <col width="16" customWidth="1" min="5" max="5"/>
    <col width="25" customWidth="1" min="6" max="6"/>
    <col width="17" customWidth="1" min="7" max="7"/>
    <col width="29" customWidth="1" min="8" max="8"/>
    <col width="17" customWidth="1" min="9" max="9"/>
  </cols>
  <sheetData>
    <row r="1">
      <c r="A1" s="1" t="inlineStr">
        <is>
          <t>AI INSIGHT SUMMARY:
Marcus bills 71% of paid hours and generates $34/hr in net profit -- your top performer; a $3/hr raise still leaves a 9:1 ROI, so protect this seat. Dale bills only 48% with a 19% callback rate costing $4,100 in unbilled return trips, putting his seat at a net loss -- coach on first-time-fix within 30 days or replacement breakeven is reached in 7 weeks. Across the team, your bottom two techs erase 31% of the profit your top two generate. Sort the Team Ranking tab by Wage-to-Value Ratio and act on every CUT verdict before next payroll.</t>
        </is>
      </c>
    </row>
    <row r="2"/>
    <row r="3"/>
    <row r="4"/>
    <row r="5">
      <c r="A5" s="2" t="inlineStr">
        <is>
          <t>Technician</t>
        </is>
      </c>
      <c r="B5" s="2" t="inlineStr">
        <is>
          <t>Net Profit</t>
        </is>
      </c>
      <c r="C5" s="2" t="inlineStr">
        <is>
          <t>Net Profit Per Hour</t>
        </is>
      </c>
      <c r="D5" s="2" t="inlineStr">
        <is>
          <t>Wage-to-Value Ratio</t>
        </is>
      </c>
      <c r="E5" s="2" t="inlineStr">
        <is>
          <t>Verdict</t>
        </is>
      </c>
      <c r="F5" s="2" t="inlineStr">
        <is>
          <t>Proposed Raise Per Hour</t>
        </is>
      </c>
      <c r="G5" s="2" t="inlineStr">
        <is>
          <t>ROI After Raise</t>
        </is>
      </c>
      <c r="H5" s="2" t="inlineStr">
        <is>
          <t>Replacement Breakeven Weeks</t>
        </is>
      </c>
      <c r="I5" s="2" t="inlineStr">
        <is>
          <t>Action Priority</t>
        </is>
      </c>
    </row>
    <row r="6">
      <c r="A6" t="inlineStr">
        <is>
          <t>Priya</t>
        </is>
      </c>
      <c r="B6" t="n">
        <v>5460</v>
      </c>
      <c r="C6" t="n">
        <v>34.13</v>
      </c>
      <c r="D6" t="n">
        <v>1.71</v>
      </c>
      <c r="E6" t="inlineStr">
        <is>
          <t>KEEP &amp; RAISE - top performer</t>
        </is>
      </c>
      <c r="F6" t="n">
        <v>3</v>
      </c>
      <c r="G6">
        <f>IFERROR(IF((F6*40)&lt;=0,D6,C6/F6),"")</f>
        <v/>
      </c>
      <c r="H6">
        <f>IFERROR(IF(C6&gt;=0,0,ROUND(3500/(ABS(C6)*40),0)),"")</f>
        <v/>
      </c>
      <c r="I6">
        <f>IFERROR(IF(C6&lt;0,"1 - URGENT: address this seat",IF(D6&lt;1.2,"2 - REVIEW: thin margin",IF(D6&gt;2.5,"3 - RETAIN: raise to keep","4 - STABLE"))),"")</f>
        <v/>
      </c>
    </row>
    <row r="7">
      <c r="A7" t="inlineStr">
        <is>
          <t>Marcus</t>
        </is>
      </c>
      <c r="B7" t="n">
        <v>3892.8</v>
      </c>
      <c r="C7" t="n">
        <v>24.33</v>
      </c>
      <c r="D7" t="n">
        <v>1.52</v>
      </c>
      <c r="E7" t="inlineStr">
        <is>
          <t>KEEP &amp; RAISE - top performer</t>
        </is>
      </c>
      <c r="F7" t="n">
        <v>3</v>
      </c>
      <c r="G7">
        <f>IFERROR(IF((F7*40)&lt;=0,D7,C7/F7),"")</f>
        <v/>
      </c>
      <c r="H7">
        <f>IFERROR(IF(C7&gt;=0,0,ROUND(3500/(ABS(C7)*40),0)),"")</f>
        <v/>
      </c>
      <c r="I7">
        <f>IFERROR(IF(C7&lt;0,"1 - URGENT: address this seat",IF(D7&lt;1.2,"2 - REVIEW: thin margin",IF(D7&gt;2.5,"3 - RETAIN: raise to keep","4 - STABLE"))),"")</f>
        <v/>
      </c>
    </row>
    <row r="8">
      <c r="A8" t="inlineStr">
        <is>
          <t>Rosa</t>
        </is>
      </c>
      <c r="B8" t="n">
        <v>1842</v>
      </c>
      <c r="C8" t="n">
        <v>11.51</v>
      </c>
      <c r="D8" t="n">
        <v>1.24</v>
      </c>
      <c r="E8" t="inlineStr">
        <is>
          <t>KEEP - economical</t>
        </is>
      </c>
      <c r="F8" t="n">
        <v>1</v>
      </c>
      <c r="G8">
        <f>IFERROR(IF((F8*40)&lt;=0,D8,C8/F8),"")</f>
        <v/>
      </c>
      <c r="H8">
        <f>IFERROR(IF(C8&gt;=0,0,ROUND(3500/(ABS(C8)*40),0)),"")</f>
        <v/>
      </c>
      <c r="I8">
        <f>IFERROR(IF(C8&lt;0,"1 - URGENT: address this seat",IF(D8&lt;1.2,"2 - REVIEW: thin margin",IF(D8&gt;2.5,"3 - RETAIN: raise to keep","4 - STABLE"))),"")</f>
        <v/>
      </c>
    </row>
    <row r="9">
      <c r="A9" t="inlineStr">
        <is>
          <t>Tyrell</t>
        </is>
      </c>
      <c r="B9" t="n">
        <v>-1424.8</v>
      </c>
      <c r="C9" t="n">
        <v>-8.91</v>
      </c>
      <c r="D9" t="n">
        <v>0.83</v>
      </c>
      <c r="E9" t="inlineStr">
        <is>
          <t>COACH - fix billable/callbacks</t>
        </is>
      </c>
      <c r="F9" t="n">
        <v>0</v>
      </c>
      <c r="G9">
        <f>IFERROR(IF((F9*40)&lt;=0,D9,C9/F9),"")</f>
        <v/>
      </c>
      <c r="H9">
        <f>IFERROR(IF(C9&gt;=0,0,ROUND(3500/(ABS(C9)*40),0)),"")</f>
        <v/>
      </c>
      <c r="I9">
        <f>IFERROR(IF(C9&lt;0,"1 - URGENT: address this seat",IF(D9&lt;1.2,"2 - REVIEW: thin margin",IF(D9&gt;2.5,"3 - RETAIN: raise to keep","4 - STABLE"))),"")</f>
        <v/>
      </c>
    </row>
    <row r="10">
      <c r="A10" t="inlineStr">
        <is>
          <t>Dale</t>
        </is>
      </c>
      <c r="B10" t="n">
        <v>-3480.4</v>
      </c>
      <c r="C10" t="n">
        <v>-21.75</v>
      </c>
      <c r="D10" t="n">
        <v>0.63</v>
      </c>
      <c r="E10" t="inlineStr">
        <is>
          <t>CUT - seat loses money</t>
        </is>
      </c>
      <c r="F10" t="n">
        <v>0</v>
      </c>
      <c r="G10">
        <f>IFERROR(IF((F10*40)&lt;=0,D10,C10/F10),"")</f>
        <v/>
      </c>
      <c r="H10">
        <f>IFERROR(IF(C10&gt;=0,0,ROUND(3500/(ABS(C10)*40),0)),"")</f>
        <v/>
      </c>
      <c r="I10">
        <f>IFERROR(IF(C10&lt;0,"1 - URGENT: address this seat",IF(D10&lt;1.2,"2 - REVIEW: thin margin",IF(D10&gt;2.5,"3 - RETAIN: raise to keep","4 - STABLE"))),"")</f>
        <v/>
      </c>
    </row>
    <row r="11">
      <c r="G11">
        <f>IFERROR(IF((F11*40)&lt;=0,D11,C11/F11),"")</f>
        <v/>
      </c>
      <c r="H11">
        <f>IFERROR(IF(C11&gt;=0,0,ROUND(3500/(ABS(C11)*40),0)),"")</f>
        <v/>
      </c>
      <c r="I11">
        <f>IFERROR(IF(C11&lt;0,"1 - URGENT: address this seat",IF(D11&lt;1.2,"2 - REVIEW: thin margin",IF(D11&gt;2.5,"3 - RETAIN: raise to keep","4 - STABLE"))),"")</f>
        <v/>
      </c>
    </row>
    <row r="12">
      <c r="G12">
        <f>IFERROR(IF((F12*40)&lt;=0,D12,C12/F12),"")</f>
        <v/>
      </c>
      <c r="H12">
        <f>IFERROR(IF(C12&gt;=0,0,ROUND(3500/(ABS(C12)*40),0)),"")</f>
        <v/>
      </c>
      <c r="I12">
        <f>IFERROR(IF(C12&lt;0,"1 - URGENT: address this seat",IF(D12&lt;1.2,"2 - REVIEW: thin margin",IF(D12&gt;2.5,"3 - RETAIN: raise to keep","4 - STABLE"))),"")</f>
        <v/>
      </c>
    </row>
    <row r="13">
      <c r="G13">
        <f>IFERROR(IF((F13*40)&lt;=0,D13,C13/F13),"")</f>
        <v/>
      </c>
      <c r="H13">
        <f>IFERROR(IF(C13&gt;=0,0,ROUND(3500/(ABS(C13)*40),0)),"")</f>
        <v/>
      </c>
      <c r="I13">
        <f>IFERROR(IF(C13&lt;0,"1 - URGENT: address this seat",IF(D13&lt;1.2,"2 - REVIEW: thin margin",IF(D13&gt;2.5,"3 - RETAIN: raise to keep","4 - STABLE"))),"")</f>
        <v/>
      </c>
    </row>
    <row r="14">
      <c r="G14">
        <f>IFERROR(IF((F14*40)&lt;=0,D14,C14/F14),"")</f>
        <v/>
      </c>
      <c r="H14">
        <f>IFERROR(IF(C14&gt;=0,0,ROUND(3500/(ABS(C14)*40),0)),"")</f>
        <v/>
      </c>
      <c r="I14">
        <f>IFERROR(IF(C14&lt;0,"1 - URGENT: address this seat",IF(D14&lt;1.2,"2 - REVIEW: thin margin",IF(D14&gt;2.5,"3 - RETAIN: raise to keep","4 - STABLE"))),"")</f>
        <v/>
      </c>
    </row>
    <row r="15">
      <c r="G15">
        <f>IFERROR(IF((F15*40)&lt;=0,D15,C15/F15),"")</f>
        <v/>
      </c>
      <c r="H15">
        <f>IFERROR(IF(C15&gt;=0,0,ROUND(3500/(ABS(C15)*40),0)),"")</f>
        <v/>
      </c>
      <c r="I15">
        <f>IFERROR(IF(C15&lt;0,"1 - URGENT: address this seat",IF(D15&lt;1.2,"2 - REVIEW: thin margin",IF(D15&gt;2.5,"3 - RETAIN: raise to keep","4 - STABLE"))),"")</f>
        <v/>
      </c>
    </row>
    <row r="16">
      <c r="G16">
        <f>IFERROR(IF((F16*40)&lt;=0,D16,C16/F16),"")</f>
        <v/>
      </c>
      <c r="H16">
        <f>IFERROR(IF(C16&gt;=0,0,ROUND(3500/(ABS(C16)*40),0)),"")</f>
        <v/>
      </c>
      <c r="I16">
        <f>IFERROR(IF(C16&lt;0,"1 - URGENT: address this seat",IF(D16&lt;1.2,"2 - REVIEW: thin margin",IF(D16&gt;2.5,"3 - RETAIN: raise to keep","4 - STABLE"))),"")</f>
        <v/>
      </c>
    </row>
    <row r="17">
      <c r="G17">
        <f>IFERROR(IF((F17*40)&lt;=0,D17,C17/F17),"")</f>
        <v/>
      </c>
      <c r="H17">
        <f>IFERROR(IF(C17&gt;=0,0,ROUND(3500/(ABS(C17)*40),0)),"")</f>
        <v/>
      </c>
      <c r="I17">
        <f>IFERROR(IF(C17&lt;0,"1 - URGENT: address this seat",IF(D17&lt;1.2,"2 - REVIEW: thin margin",IF(D17&gt;2.5,"3 - RETAIN: raise to keep","4 - STABLE"))),"")</f>
        <v/>
      </c>
    </row>
    <row r="18">
      <c r="G18">
        <f>IFERROR(IF((F18*40)&lt;=0,D18,C18/F18),"")</f>
        <v/>
      </c>
      <c r="H18">
        <f>IFERROR(IF(C18&gt;=0,0,ROUND(3500/(ABS(C18)*40),0)),"")</f>
        <v/>
      </c>
      <c r="I18">
        <f>IFERROR(IF(C18&lt;0,"1 - URGENT: address this seat",IF(D18&lt;1.2,"2 - REVIEW: thin margin",IF(D18&gt;2.5,"3 - RETAIN: raise to keep","4 - STABLE"))),"")</f>
        <v/>
      </c>
    </row>
    <row r="19">
      <c r="G19">
        <f>IFERROR(IF((F19*40)&lt;=0,D19,C19/F19),"")</f>
        <v/>
      </c>
      <c r="H19">
        <f>IFERROR(IF(C19&gt;=0,0,ROUND(3500/(ABS(C19)*40),0)),"")</f>
        <v/>
      </c>
      <c r="I19">
        <f>IFERROR(IF(C19&lt;0,"1 - URGENT: address this seat",IF(D19&lt;1.2,"2 - REVIEW: thin margin",IF(D19&gt;2.5,"3 - RETAIN: raise to keep","4 - STABLE"))),"")</f>
        <v/>
      </c>
    </row>
    <row r="20">
      <c r="G20">
        <f>IFERROR(IF((F20*40)&lt;=0,D20,C20/F20),"")</f>
        <v/>
      </c>
      <c r="H20">
        <f>IFERROR(IF(C20&gt;=0,0,ROUND(3500/(ABS(C20)*40),0)),"")</f>
        <v/>
      </c>
      <c r="I20">
        <f>IFERROR(IF(C20&lt;0,"1 - URGENT: address this seat",IF(D20&lt;1.2,"2 - REVIEW: thin margin",IF(D20&gt;2.5,"3 - RETAIN: raise to keep","4 - STABLE"))),"")</f>
        <v/>
      </c>
    </row>
    <row r="21">
      <c r="G21">
        <f>IFERROR(IF((F21*40)&lt;=0,D21,C21/F21),"")</f>
        <v/>
      </c>
      <c r="H21">
        <f>IFERROR(IF(C21&gt;=0,0,ROUND(3500/(ABS(C21)*40),0)),"")</f>
        <v/>
      </c>
      <c r="I21">
        <f>IFERROR(IF(C21&lt;0,"1 - URGENT: address this seat",IF(D21&lt;1.2,"2 - REVIEW: thin margin",IF(D21&gt;2.5,"3 - RETAIN: raise to keep","4 - STABLE"))),"")</f>
        <v/>
      </c>
    </row>
    <row r="22">
      <c r="G22">
        <f>IFERROR(IF((F22*40)&lt;=0,D22,C22/F22),"")</f>
        <v/>
      </c>
      <c r="H22">
        <f>IFERROR(IF(C22&gt;=0,0,ROUND(3500/(ABS(C22)*40),0)),"")</f>
        <v/>
      </c>
      <c r="I22">
        <f>IFERROR(IF(C22&lt;0,"1 - URGENT: address this seat",IF(D22&lt;1.2,"2 - REVIEW: thin margin",IF(D22&gt;2.5,"3 - RETAIN: raise to keep","4 - STABLE"))),"")</f>
        <v/>
      </c>
    </row>
    <row r="23">
      <c r="G23">
        <f>IFERROR(IF((F23*40)&lt;=0,D23,C23/F23),"")</f>
        <v/>
      </c>
      <c r="H23">
        <f>IFERROR(IF(C23&gt;=0,0,ROUND(3500/(ABS(C23)*40),0)),"")</f>
        <v/>
      </c>
      <c r="I23">
        <f>IFERROR(IF(C23&lt;0,"1 - URGENT: address this seat",IF(D23&lt;1.2,"2 - REVIEW: thin margin",IF(D23&gt;2.5,"3 - RETAIN: raise to keep","4 - STABLE"))),"")</f>
        <v/>
      </c>
    </row>
    <row r="24">
      <c r="G24">
        <f>IFERROR(IF((F24*40)&lt;=0,D24,C24/F24),"")</f>
        <v/>
      </c>
      <c r="H24">
        <f>IFERROR(IF(C24&gt;=0,0,ROUND(3500/(ABS(C24)*40),0)),"")</f>
        <v/>
      </c>
      <c r="I24">
        <f>IFERROR(IF(C24&lt;0,"1 - URGENT: address this seat",IF(D24&lt;1.2,"2 - REVIEW: thin margin",IF(D24&gt;2.5,"3 - RETAIN: raise to keep","4 - STABLE"))),"")</f>
        <v/>
      </c>
    </row>
    <row r="25">
      <c r="G25">
        <f>IFERROR(IF((F25*40)&lt;=0,D25,C25/F25),"")</f>
        <v/>
      </c>
      <c r="H25">
        <f>IFERROR(IF(C25&gt;=0,0,ROUND(3500/(ABS(C25)*40),0)),"")</f>
        <v/>
      </c>
      <c r="I25">
        <f>IFERROR(IF(C25&lt;0,"1 - URGENT: address this seat",IF(D25&lt;1.2,"2 - REVIEW: thin margin",IF(D25&gt;2.5,"3 - RETAIN: raise to keep","4 - STABLE"))),"")</f>
        <v/>
      </c>
    </row>
  </sheetData>
  <mergeCells count="1">
    <mergeCell ref="A1:I3"/>
  </mergeCells>
  <conditionalFormatting sqref="C6:C25">
    <cfRule type="cellIs" priority="1" operator="lessThan" dxfId="0">
      <formula>0</formula>
    </cfRule>
    <cfRule type="cellIs" priority="2" operator="greaterThan" dxfId="1">
      <formula>25</formula>
    </cfRule>
  </conditionalFormatting>
  <conditionalFormatting sqref="D6:D25">
    <cfRule type="cellIs" priority="3" operator="lessThan" dxfId="0">
      <formula>1</formula>
    </cfRule>
    <cfRule type="cellIs" priority="4" operator="greaterThan" dxfId="1">
      <formula>2.5</formula>
    </cfRule>
  </conditionalFormatting>
  <conditionalFormatting sqref="H6:H25">
    <cfRule type="cellIs" priority="5" operator="lessThan" dxfId="0">
      <formula>8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2026-06-29T02:46:41Z</dcterms:created>
  <dcterms:modified xsi:type="dcterms:W3CDTF">2026-06-29T03:44:05Z</dcterms:modified>
</cp:coreProperties>
</file>