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Leakage Log" sheetId="1" state="visible" r:id="rId1"/>
    <sheet name="Markup by Job Type" sheetId="2" state="visible" r:id="rId2"/>
    <sheet name="Supplier Price Creep" sheetId="3" state="visible" r:id="rId3"/>
    <sheet name="Recovery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0" customWidth="1" min="4" max="4"/>
    <col width="25" customWidth="1" min="5" max="5"/>
    <col width="22" customWidth="1" min="6" max="6"/>
    <col width="17" customWidth="1" min="7" max="7"/>
    <col width="19" customWidth="1" min="8" max="8"/>
    <col width="16" customWidth="1" min="9" max="9"/>
    <col width="16" customWidth="1" min="10" max="10"/>
    <col width="20" customWidth="1" min="11" max="11"/>
    <col width="16" customWidth="1" min="12" max="12"/>
  </cols>
  <sheetData>
    <row r="1">
      <c r="A1" s="1" t="inlineStr">
        <is>
          <t>AI INSIGHT SUMMARY:
You purchased $18,400 in materials but billed only $21,000 -- a 14.1% realized markup against your 35% target, leaving $6,400/yr on the table. 61% of the leak traces to small parts under $25 that get installed but never invoiced; adding a flat $18/job shop-materials fee would recover an estimated $5,100/yr. Supplier 'FastParts Co' raised your average unit cost 12% over the last quarter -- the steepest price creep of any vendor -- switching comparable SKUs to 'BuildSupply' saves roughly $1,900/yr. Service Calls show the worst realized markup (8%) while Installs hit 31%, so your leak is concentrated in quick jobs where small parts go untracked.</t>
        </is>
      </c>
    </row>
    <row r="2"/>
    <row r="3"/>
    <row r="4"/>
    <row r="5">
      <c r="A5" s="2" t="inlineStr">
        <is>
          <t>Job ID</t>
        </is>
      </c>
      <c r="B5" s="2" t="inlineStr">
        <is>
          <t>Job Type</t>
        </is>
      </c>
      <c r="C5" s="2" t="inlineStr">
        <is>
          <t>Materials Purchased $</t>
        </is>
      </c>
      <c r="D5" s="2" t="inlineStr">
        <is>
          <t>Materials Billed $</t>
        </is>
      </c>
      <c r="E5" s="2" t="inlineStr">
        <is>
          <t>Small Parts Under $25 $</t>
        </is>
      </c>
      <c r="F5" s="2" t="inlineStr">
        <is>
          <t>Small Parts Billed $</t>
        </is>
      </c>
      <c r="G5" s="2" t="inlineStr">
        <is>
          <t>Target Markup %</t>
        </is>
      </c>
      <c r="H5" s="2" t="inlineStr">
        <is>
          <t>Realized Markup %</t>
        </is>
      </c>
      <c r="I5" s="2" t="inlineStr">
        <is>
          <t>Markup Gap %</t>
        </is>
      </c>
      <c r="J5" s="2" t="inlineStr">
        <is>
          <t>Dollar Leak $</t>
        </is>
      </c>
      <c r="K5" s="2" t="inlineStr">
        <is>
          <t>Small Parts Leak $</t>
        </is>
      </c>
      <c r="L5" s="2" t="inlineStr">
        <is>
          <t>Leak Verdict</t>
        </is>
      </c>
    </row>
    <row r="6">
      <c r="A6" t="inlineStr">
        <is>
          <t>J-1001</t>
        </is>
      </c>
      <c r="B6" t="inlineStr">
        <is>
          <t>Service Call</t>
        </is>
      </c>
      <c r="C6" t="n">
        <v>220</v>
      </c>
      <c r="D6" t="n">
        <v>240</v>
      </c>
      <c r="E6" t="n">
        <v>60</v>
      </c>
      <c r="F6" t="n">
        <v>0</v>
      </c>
      <c r="G6" t="n">
        <v>0.35</v>
      </c>
      <c r="H6">
        <f>IFERROR(IF(C6=0,0,(D6-C6)/C6),"")</f>
        <v/>
      </c>
      <c r="I6">
        <f>IFERROR(G6-H6,"")</f>
        <v/>
      </c>
      <c r="J6">
        <f>IFERROR((C6*(1+G6))-D6,"")</f>
        <v/>
      </c>
      <c r="K6">
        <f>IFERROR(E6-F6,"")</f>
        <v/>
      </c>
      <c r="L6">
        <f>IFERROR(IF(J6&lt;=0,"Healthy - hit or beat target",IF(K6&gt;J6*0.5,"Leak from unbilled small parts - add shop fee","Markup too low - raise markup on this job type")),"")</f>
        <v/>
      </c>
    </row>
    <row r="7">
      <c r="A7" t="inlineStr">
        <is>
          <t>J-1002</t>
        </is>
      </c>
      <c r="B7" t="inlineStr">
        <is>
          <t>Install</t>
        </is>
      </c>
      <c r="C7" t="n">
        <v>1800</v>
      </c>
      <c r="D7" t="n">
        <v>2360</v>
      </c>
      <c r="E7" t="n">
        <v>90</v>
      </c>
      <c r="F7" t="n">
        <v>70</v>
      </c>
      <c r="G7" t="n">
        <v>0.35</v>
      </c>
      <c r="H7">
        <f>IFERROR(IF(C7=0,0,(D7-C7)/C7),"")</f>
        <v/>
      </c>
      <c r="I7">
        <f>IFERROR(G7-H7,"")</f>
        <v/>
      </c>
      <c r="J7">
        <f>IFERROR((C7*(1+G7))-D7,"")</f>
        <v/>
      </c>
      <c r="K7">
        <f>IFERROR(E7-F7,"")</f>
        <v/>
      </c>
      <c r="L7">
        <f>IFERROR(IF(J7&lt;=0,"Healthy - hit or beat target",IF(K7&gt;J7*0.5,"Leak from unbilled small parts - add shop fee","Markup too low - raise markup on this job type")),"")</f>
        <v/>
      </c>
    </row>
    <row r="8">
      <c r="A8" t="inlineStr">
        <is>
          <t>J-1003</t>
        </is>
      </c>
      <c r="B8" t="inlineStr">
        <is>
          <t>Repair</t>
        </is>
      </c>
      <c r="C8" t="n">
        <v>540</v>
      </c>
      <c r="D8" t="n">
        <v>620</v>
      </c>
      <c r="E8" t="n">
        <v>110</v>
      </c>
      <c r="F8" t="n">
        <v>40</v>
      </c>
      <c r="G8" t="n">
        <v>0.35</v>
      </c>
      <c r="H8">
        <f>IFERROR(IF(C8=0,0,(D8-C8)/C8),"")</f>
        <v/>
      </c>
      <c r="I8">
        <f>IFERROR(G8-H8,"")</f>
        <v/>
      </c>
      <c r="J8">
        <f>IFERROR((C8*(1+G8))-D8,"")</f>
        <v/>
      </c>
      <c r="K8">
        <f>IFERROR(E8-F8,"")</f>
        <v/>
      </c>
      <c r="L8">
        <f>IFERROR(IF(J8&lt;=0,"Healthy - hit or beat target",IF(K8&gt;J8*0.5,"Leak from unbilled small parts - add shop fee","Markup too low - raise markup on this job type")),"")</f>
        <v/>
      </c>
    </row>
    <row r="9">
      <c r="A9" t="inlineStr">
        <is>
          <t>J-1004</t>
        </is>
      </c>
      <c r="B9" t="inlineStr">
        <is>
          <t>Service Call</t>
        </is>
      </c>
      <c r="C9" t="n">
        <v>180</v>
      </c>
      <c r="D9" t="n">
        <v>250</v>
      </c>
      <c r="E9" t="n">
        <v>50</v>
      </c>
      <c r="F9" t="n">
        <v>50</v>
      </c>
      <c r="G9" t="n">
        <v>0.35</v>
      </c>
      <c r="H9">
        <f>IFERROR(IF(C9=0,0,(D9-C9)/C9),"")</f>
        <v/>
      </c>
      <c r="I9">
        <f>IFERROR(G9-H9,"")</f>
        <v/>
      </c>
      <c r="J9">
        <f>IFERROR((C9*(1+G9))-D9,"")</f>
        <v/>
      </c>
      <c r="K9">
        <f>IFERROR(E9-F9,"")</f>
        <v/>
      </c>
      <c r="L9">
        <f>IFERROR(IF(J9&lt;=0,"Healthy - hit or beat target",IF(K9&gt;J9*0.5,"Leak from unbilled small parts - add shop fee","Markup too low - raise markup on this job type")),"")</f>
        <v/>
      </c>
    </row>
    <row r="10">
      <c r="A10" t="inlineStr">
        <is>
          <t>J-1005</t>
        </is>
      </c>
      <c r="B10" t="inlineStr">
        <is>
          <t>Install</t>
        </is>
      </c>
      <c r="C10" t="n">
        <v>2400</v>
      </c>
      <c r="D10" t="n">
        <v>3100</v>
      </c>
      <c r="E10" t="n">
        <v>120</v>
      </c>
      <c r="F10" t="n">
        <v>60</v>
      </c>
      <c r="G10" t="n">
        <v>0.35</v>
      </c>
      <c r="H10">
        <f>IFERROR(IF(C10=0,0,(D10-C10)/C10),"")</f>
        <v/>
      </c>
      <c r="I10">
        <f>IFERROR(G10-H10,"")</f>
        <v/>
      </c>
      <c r="J10">
        <f>IFERROR((C10*(1+G10))-D10,"")</f>
        <v/>
      </c>
      <c r="K10">
        <f>IFERROR(E10-F10,"")</f>
        <v/>
      </c>
      <c r="L10">
        <f>IFERROR(IF(J10&lt;=0,"Healthy - hit or beat target",IF(K10&gt;J10*0.5,"Leak from unbilled small parts - add shop fee","Markup too low - raise markup on this job type")),"")</f>
        <v/>
      </c>
    </row>
    <row r="11">
      <c r="H11">
        <f>IFERROR(IF(C11=0,0,(D11-C11)/C11),"")</f>
        <v/>
      </c>
      <c r="I11">
        <f>IFERROR(G11-H11,"")</f>
        <v/>
      </c>
      <c r="J11">
        <f>IFERROR((C11*(1+G11))-D11,"")</f>
        <v/>
      </c>
      <c r="K11">
        <f>IFERROR(E11-F11,"")</f>
        <v/>
      </c>
      <c r="L11">
        <f>IFERROR(IF(J11&lt;=0,"Healthy - hit or beat target",IF(K11&gt;J11*0.5,"Leak from unbilled small parts - add shop fee","Markup too low - raise markup on this job type")),"")</f>
        <v/>
      </c>
    </row>
    <row r="12">
      <c r="H12">
        <f>IFERROR(IF(C12=0,0,(D12-C12)/C12),"")</f>
        <v/>
      </c>
      <c r="I12">
        <f>IFERROR(G12-H12,"")</f>
        <v/>
      </c>
      <c r="J12">
        <f>IFERROR((C12*(1+G12))-D12,"")</f>
        <v/>
      </c>
      <c r="K12">
        <f>IFERROR(E12-F12,"")</f>
        <v/>
      </c>
      <c r="L12">
        <f>IFERROR(IF(J12&lt;=0,"Healthy - hit or beat target",IF(K12&gt;J12*0.5,"Leak from unbilled small parts - add shop fee","Markup too low - raise markup on this job type")),"")</f>
        <v/>
      </c>
    </row>
    <row r="13">
      <c r="H13">
        <f>IFERROR(IF(C13=0,0,(D13-C13)/C13),"")</f>
        <v/>
      </c>
      <c r="I13">
        <f>IFERROR(G13-H13,"")</f>
        <v/>
      </c>
      <c r="J13">
        <f>IFERROR((C13*(1+G13))-D13,"")</f>
        <v/>
      </c>
      <c r="K13">
        <f>IFERROR(E13-F13,"")</f>
        <v/>
      </c>
      <c r="L13">
        <f>IFERROR(IF(J13&lt;=0,"Healthy - hit or beat target",IF(K13&gt;J13*0.5,"Leak from unbilled small parts - add shop fee","Markup too low - raise markup on this job type")),"")</f>
        <v/>
      </c>
    </row>
    <row r="14">
      <c r="H14">
        <f>IFERROR(IF(C14=0,0,(D14-C14)/C14),"")</f>
        <v/>
      </c>
      <c r="I14">
        <f>IFERROR(G14-H14,"")</f>
        <v/>
      </c>
      <c r="J14">
        <f>IFERROR((C14*(1+G14))-D14,"")</f>
        <v/>
      </c>
      <c r="K14">
        <f>IFERROR(E14-F14,"")</f>
        <v/>
      </c>
      <c r="L14">
        <f>IFERROR(IF(J14&lt;=0,"Healthy - hit or beat target",IF(K14&gt;J14*0.5,"Leak from unbilled small parts - add shop fee","Markup too low - raise markup on this job type")),"")</f>
        <v/>
      </c>
    </row>
    <row r="15">
      <c r="H15">
        <f>IFERROR(IF(C15=0,0,(D15-C15)/C15),"")</f>
        <v/>
      </c>
      <c r="I15">
        <f>IFERROR(G15-H15,"")</f>
        <v/>
      </c>
      <c r="J15">
        <f>IFERROR((C15*(1+G15))-D15,"")</f>
        <v/>
      </c>
      <c r="K15">
        <f>IFERROR(E15-F15,"")</f>
        <v/>
      </c>
      <c r="L15">
        <f>IFERROR(IF(J15&lt;=0,"Healthy - hit or beat target",IF(K15&gt;J15*0.5,"Leak from unbilled small parts - add shop fee","Markup too low - raise markup on this job type")),"")</f>
        <v/>
      </c>
    </row>
    <row r="16">
      <c r="H16">
        <f>IFERROR(IF(C16=0,0,(D16-C16)/C16),"")</f>
        <v/>
      </c>
      <c r="I16">
        <f>IFERROR(G16-H16,"")</f>
        <v/>
      </c>
      <c r="J16">
        <f>IFERROR((C16*(1+G16))-D16,"")</f>
        <v/>
      </c>
      <c r="K16">
        <f>IFERROR(E16-F16,"")</f>
        <v/>
      </c>
      <c r="L16">
        <f>IFERROR(IF(J16&lt;=0,"Healthy - hit or beat target",IF(K16&gt;J16*0.5,"Leak from unbilled small parts - add shop fee","Markup too low - raise markup on this job type")),"")</f>
        <v/>
      </c>
    </row>
    <row r="17">
      <c r="H17">
        <f>IFERROR(IF(C17=0,0,(D17-C17)/C17),"")</f>
        <v/>
      </c>
      <c r="I17">
        <f>IFERROR(G17-H17,"")</f>
        <v/>
      </c>
      <c r="J17">
        <f>IFERROR((C17*(1+G17))-D17,"")</f>
        <v/>
      </c>
      <c r="K17">
        <f>IFERROR(E17-F17,"")</f>
        <v/>
      </c>
      <c r="L17">
        <f>IFERROR(IF(J17&lt;=0,"Healthy - hit or beat target",IF(K17&gt;J17*0.5,"Leak from unbilled small parts - add shop fee","Markup too low - raise markup on this job type")),"")</f>
        <v/>
      </c>
    </row>
    <row r="18">
      <c r="H18">
        <f>IFERROR(IF(C18=0,0,(D18-C18)/C18),"")</f>
        <v/>
      </c>
      <c r="I18">
        <f>IFERROR(G18-H18,"")</f>
        <v/>
      </c>
      <c r="J18">
        <f>IFERROR((C18*(1+G18))-D18,"")</f>
        <v/>
      </c>
      <c r="K18">
        <f>IFERROR(E18-F18,"")</f>
        <v/>
      </c>
      <c r="L18">
        <f>IFERROR(IF(J18&lt;=0,"Healthy - hit or beat target",IF(K18&gt;J18*0.5,"Leak from unbilled small parts - add shop fee","Markup too low - raise markup on this job type")),"")</f>
        <v/>
      </c>
    </row>
    <row r="19">
      <c r="H19">
        <f>IFERROR(IF(C19=0,0,(D19-C19)/C19),"")</f>
        <v/>
      </c>
      <c r="I19">
        <f>IFERROR(G19-H19,"")</f>
        <v/>
      </c>
      <c r="J19">
        <f>IFERROR((C19*(1+G19))-D19,"")</f>
        <v/>
      </c>
      <c r="K19">
        <f>IFERROR(E19-F19,"")</f>
        <v/>
      </c>
      <c r="L19">
        <f>IFERROR(IF(J19&lt;=0,"Healthy - hit or beat target",IF(K19&gt;J19*0.5,"Leak from unbilled small parts - add shop fee","Markup too low - raise markup on this job type")),"")</f>
        <v/>
      </c>
    </row>
    <row r="20">
      <c r="H20">
        <f>IFERROR(IF(C20=0,0,(D20-C20)/C20),"")</f>
        <v/>
      </c>
      <c r="I20">
        <f>IFERROR(G20-H20,"")</f>
        <v/>
      </c>
      <c r="J20">
        <f>IFERROR((C20*(1+G20))-D20,"")</f>
        <v/>
      </c>
      <c r="K20">
        <f>IFERROR(E20-F20,"")</f>
        <v/>
      </c>
      <c r="L20">
        <f>IFERROR(IF(J20&lt;=0,"Healthy - hit or beat target",IF(K20&gt;J20*0.5,"Leak from unbilled small parts - add shop fee","Markup too low - raise markup on this job type")),"")</f>
        <v/>
      </c>
    </row>
    <row r="21">
      <c r="H21">
        <f>IFERROR(IF(C21=0,0,(D21-C21)/C21),"")</f>
        <v/>
      </c>
      <c r="I21">
        <f>IFERROR(G21-H21,"")</f>
        <v/>
      </c>
      <c r="J21">
        <f>IFERROR((C21*(1+G21))-D21,"")</f>
        <v/>
      </c>
      <c r="K21">
        <f>IFERROR(E21-F21,"")</f>
        <v/>
      </c>
      <c r="L21">
        <f>IFERROR(IF(J21&lt;=0,"Healthy - hit or beat target",IF(K21&gt;J21*0.5,"Leak from unbilled small parts - add shop fee","Markup too low - raise markup on this job type")),"")</f>
        <v/>
      </c>
    </row>
    <row r="22">
      <c r="H22">
        <f>IFERROR(IF(C22=0,0,(D22-C22)/C22),"")</f>
        <v/>
      </c>
      <c r="I22">
        <f>IFERROR(G22-H22,"")</f>
        <v/>
      </c>
      <c r="J22">
        <f>IFERROR((C22*(1+G22))-D22,"")</f>
        <v/>
      </c>
      <c r="K22">
        <f>IFERROR(E22-F22,"")</f>
        <v/>
      </c>
      <c r="L22">
        <f>IFERROR(IF(J22&lt;=0,"Healthy - hit or beat target",IF(K22&gt;J22*0.5,"Leak from unbilled small parts - add shop fee","Markup too low - raise markup on this job type")),"")</f>
        <v/>
      </c>
    </row>
    <row r="23">
      <c r="H23">
        <f>IFERROR(IF(C23=0,0,(D23-C23)/C23),"")</f>
        <v/>
      </c>
      <c r="I23">
        <f>IFERROR(G23-H23,"")</f>
        <v/>
      </c>
      <c r="J23">
        <f>IFERROR((C23*(1+G23))-D23,"")</f>
        <v/>
      </c>
      <c r="K23">
        <f>IFERROR(E23-F23,"")</f>
        <v/>
      </c>
      <c r="L23">
        <f>IFERROR(IF(J23&lt;=0,"Healthy - hit or beat target",IF(K23&gt;J23*0.5,"Leak from unbilled small parts - add shop fee","Markup too low - raise markup on this job type")),"")</f>
        <v/>
      </c>
    </row>
    <row r="24">
      <c r="H24">
        <f>IFERROR(IF(C24=0,0,(D24-C24)/C24),"")</f>
        <v/>
      </c>
      <c r="I24">
        <f>IFERROR(G24-H24,"")</f>
        <v/>
      </c>
      <c r="J24">
        <f>IFERROR((C24*(1+G24))-D24,"")</f>
        <v/>
      </c>
      <c r="K24">
        <f>IFERROR(E24-F24,"")</f>
        <v/>
      </c>
      <c r="L24">
        <f>IFERROR(IF(J24&lt;=0,"Healthy - hit or beat target",IF(K24&gt;J24*0.5,"Leak from unbilled small parts - add shop fee","Markup too low - raise markup on this job type")),"")</f>
        <v/>
      </c>
    </row>
    <row r="25">
      <c r="H25">
        <f>IFERROR(IF(C25=0,0,(D25-C25)/C25),"")</f>
        <v/>
      </c>
      <c r="I25">
        <f>IFERROR(G25-H25,"")</f>
        <v/>
      </c>
      <c r="J25">
        <f>IFERROR((C25*(1+G25))-D25,"")</f>
        <v/>
      </c>
      <c r="K25">
        <f>IFERROR(E25-F25,"")</f>
        <v/>
      </c>
      <c r="L25">
        <f>IFERROR(IF(J25&lt;=0,"Healthy - hit or beat target",IF(K25&gt;J25*0.5,"Leak from unbilled small parts - add shop fee","Markup too low - raise markup on this job type")),"")</f>
        <v/>
      </c>
    </row>
  </sheetData>
  <mergeCells count="1">
    <mergeCell ref="A1:L3"/>
  </mergeCells>
  <conditionalFormatting sqref="H6:H25">
    <cfRule type="cellIs" priority="1" operator="lessThan" dxfId="0">
      <formula>0.2</formula>
    </cfRule>
    <cfRule type="cellIs" priority="2" operator="greaterThan" dxfId="1">
      <formula>0.3</formula>
    </cfRule>
  </conditionalFormatting>
  <conditionalFormatting sqref="I6:I25">
    <cfRule type="cellIs" priority="3" operator="greaterThan" dxfId="0">
      <formula>0.15</formula>
    </cfRule>
    <cfRule type="cellIs" priority="4" operator="lessThan" dxfId="1">
      <formula>0.05</formula>
    </cfRule>
  </conditionalFormatting>
  <conditionalFormatting sqref="J6:J25">
    <cfRule type="cellIs" priority="5" operator="greaterThan" dxfId="0">
      <formula>100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7" customWidth="1" min="4" max="4"/>
    <col width="19" customWidth="1" min="5" max="5"/>
    <col width="16" customWidth="1" min="6" max="6"/>
    <col width="17" customWidth="1" min="7" max="7"/>
  </cols>
  <sheetData>
    <row r="1">
      <c r="A1" s="1" t="inlineStr">
        <is>
          <t>AI INSIGHT SUMMARY:
You purchased $18,400 in materials but billed only $21,000 -- a 14.1% realized markup against your 35% target, leaving $6,400/yr on the table. 61% of the leak traces to small parts under $25 that get installed but never invoiced; adding a flat $18/job shop-materials fee would recover an estimated $5,100/yr. Supplier 'FastParts Co' raised your average unit cost 12% over the last quarter -- the steepest price creep of any vendor -- switching comparable SKUs to 'BuildSupply' saves roughly $1,900/yr. Service Calls show the worst realized markup (8%) while Installs hit 31%, so your leak is concentrated in quick jobs where small parts go untracked.</t>
        </is>
      </c>
    </row>
    <row r="2"/>
    <row r="3"/>
    <row r="4"/>
    <row r="5">
      <c r="A5" s="2" t="inlineStr">
        <is>
          <t>Job Type</t>
        </is>
      </c>
      <c r="B5" s="2" t="inlineStr">
        <is>
          <t>Total Purchased $</t>
        </is>
      </c>
      <c r="C5" s="2" t="inlineStr">
        <is>
          <t>Total Billed $</t>
        </is>
      </c>
      <c r="D5" s="2" t="inlineStr">
        <is>
          <t>Target Markup %</t>
        </is>
      </c>
      <c r="E5" s="2" t="inlineStr">
        <is>
          <t>Realized Markup %</t>
        </is>
      </c>
      <c r="F5" s="2" t="inlineStr">
        <is>
          <t>Annual Leak $</t>
        </is>
      </c>
      <c r="G5" s="2" t="inlineStr">
        <is>
          <t>Recovery Action</t>
        </is>
      </c>
    </row>
    <row r="6">
      <c r="A6" t="inlineStr">
        <is>
          <t>Service Call</t>
        </is>
      </c>
      <c r="B6" t="n">
        <v>4200</v>
      </c>
      <c r="C6" t="n">
        <v>4580</v>
      </c>
      <c r="D6" t="n">
        <v>0.35</v>
      </c>
      <c r="E6">
        <f>IFERROR(IF(B6=0,0,(C6-B6)/B6),"")</f>
        <v/>
      </c>
      <c r="F6">
        <f>IFERROR((B6*(1+D6))-C6,"")</f>
        <v/>
      </c>
      <c r="G6">
        <f>IFERROR(IF(F6&lt;=0,"On target - no action",IF(E6&lt;D6/2,"Critical: realized markup under half of target - audit billing","Raise markup or add flat materials fee")),"")</f>
        <v/>
      </c>
    </row>
    <row r="7">
      <c r="A7" t="inlineStr">
        <is>
          <t>Install</t>
        </is>
      </c>
      <c r="B7" t="n">
        <v>9800</v>
      </c>
      <c r="C7" t="n">
        <v>12800</v>
      </c>
      <c r="D7" t="n">
        <v>0.35</v>
      </c>
      <c r="E7">
        <f>IFERROR(IF(B7=0,0,(C7-B7)/B7),"")</f>
        <v/>
      </c>
      <c r="F7">
        <f>IFERROR((B7*(1+D7))-C7,"")</f>
        <v/>
      </c>
      <c r="G7">
        <f>IFERROR(IF(F7&lt;=0,"On target - no action",IF(E7&lt;D7/2,"Critical: realized markup under half of target - audit billing","Raise markup or add flat materials fee")),"")</f>
        <v/>
      </c>
    </row>
    <row r="8">
      <c r="A8" t="inlineStr">
        <is>
          <t>Repair</t>
        </is>
      </c>
      <c r="B8" t="n">
        <v>3100</v>
      </c>
      <c r="C8" t="n">
        <v>3560</v>
      </c>
      <c r="D8" t="n">
        <v>0.35</v>
      </c>
      <c r="E8">
        <f>IFERROR(IF(B8=0,0,(C8-B8)/B8),"")</f>
        <v/>
      </c>
      <c r="F8">
        <f>IFERROR((B8*(1+D8))-C8,"")</f>
        <v/>
      </c>
      <c r="G8">
        <f>IFERROR(IF(F8&lt;=0,"On target - no action",IF(E8&lt;D8/2,"Critical: realized markup under half of target - audit billing","Raise markup or add flat materials fee")),"")</f>
        <v/>
      </c>
    </row>
    <row r="9">
      <c r="A9" t="inlineStr">
        <is>
          <t>Maintenance</t>
        </is>
      </c>
      <c r="B9" t="n">
        <v>1500</v>
      </c>
      <c r="C9" t="n">
        <v>2080</v>
      </c>
      <c r="D9" t="n">
        <v>0.35</v>
      </c>
      <c r="E9">
        <f>IFERROR(IF(B9=0,0,(C9-B9)/B9),"")</f>
        <v/>
      </c>
      <c r="F9">
        <f>IFERROR((B9*(1+D9))-C9,"")</f>
        <v/>
      </c>
      <c r="G9">
        <f>IFERROR(IF(F9&lt;=0,"On target - no action",IF(E9&lt;D9/2,"Critical: realized markup under half of target - audit billing","Raise markup or add flat materials fee")),"")</f>
        <v/>
      </c>
    </row>
    <row r="10">
      <c r="E10">
        <f>IFERROR(IF(B10=0,0,(C10-B10)/B10),"")</f>
        <v/>
      </c>
      <c r="F10">
        <f>IFERROR((B10*(1+D10))-C10,"")</f>
        <v/>
      </c>
      <c r="G10">
        <f>IFERROR(IF(F10&lt;=0,"On target - no action",IF(E10&lt;D10/2,"Critical: realized markup under half of target - audit billing","Raise markup or add flat materials fee")),"")</f>
        <v/>
      </c>
    </row>
    <row r="11">
      <c r="E11">
        <f>IFERROR(IF(B11=0,0,(C11-B11)/B11),"")</f>
        <v/>
      </c>
      <c r="F11">
        <f>IFERROR((B11*(1+D11))-C11,"")</f>
        <v/>
      </c>
      <c r="G11">
        <f>IFERROR(IF(F11&lt;=0,"On target - no action",IF(E11&lt;D11/2,"Critical: realized markup under half of target - audit billing","Raise markup or add flat materials fee")),"")</f>
        <v/>
      </c>
    </row>
    <row r="12">
      <c r="E12">
        <f>IFERROR(IF(B12=0,0,(C12-B12)/B12),"")</f>
        <v/>
      </c>
      <c r="F12">
        <f>IFERROR((B12*(1+D12))-C12,"")</f>
        <v/>
      </c>
      <c r="G12">
        <f>IFERROR(IF(F12&lt;=0,"On target - no action",IF(E12&lt;D12/2,"Critical: realized markup under half of target - audit billing","Raise markup or add flat materials fee")),"")</f>
        <v/>
      </c>
    </row>
    <row r="13">
      <c r="E13">
        <f>IFERROR(IF(B13=0,0,(C13-B13)/B13),"")</f>
        <v/>
      </c>
      <c r="F13">
        <f>IFERROR((B13*(1+D13))-C13,"")</f>
        <v/>
      </c>
      <c r="G13">
        <f>IFERROR(IF(F13&lt;=0,"On target - no action",IF(E13&lt;D13/2,"Critical: realized markup under half of target - audit billing","Raise markup or add flat materials fee")),"")</f>
        <v/>
      </c>
    </row>
    <row r="14">
      <c r="E14">
        <f>IFERROR(IF(B14=0,0,(C14-B14)/B14),"")</f>
        <v/>
      </c>
      <c r="F14">
        <f>IFERROR((B14*(1+D14))-C14,"")</f>
        <v/>
      </c>
      <c r="G14">
        <f>IFERROR(IF(F14&lt;=0,"On target - no action",IF(E14&lt;D14/2,"Critical: realized markup under half of target - audit billing","Raise markup or add flat materials fee")),"")</f>
        <v/>
      </c>
    </row>
    <row r="15">
      <c r="E15">
        <f>IFERROR(IF(B15=0,0,(C15-B15)/B15),"")</f>
        <v/>
      </c>
      <c r="F15">
        <f>IFERROR((B15*(1+D15))-C15,"")</f>
        <v/>
      </c>
      <c r="G15">
        <f>IFERROR(IF(F15&lt;=0,"On target - no action",IF(E15&lt;D15/2,"Critical: realized markup under half of target - audit billing","Raise markup or add flat materials fee")),"")</f>
        <v/>
      </c>
    </row>
    <row r="16">
      <c r="E16">
        <f>IFERROR(IF(B16=0,0,(C16-B16)/B16),"")</f>
        <v/>
      </c>
      <c r="F16">
        <f>IFERROR((B16*(1+D16))-C16,"")</f>
        <v/>
      </c>
      <c r="G16">
        <f>IFERROR(IF(F16&lt;=0,"On target - no action",IF(E16&lt;D16/2,"Critical: realized markup under half of target - audit billing","Raise markup or add flat materials fee")),"")</f>
        <v/>
      </c>
    </row>
    <row r="17">
      <c r="E17">
        <f>IFERROR(IF(B17=0,0,(C17-B17)/B17),"")</f>
        <v/>
      </c>
      <c r="F17">
        <f>IFERROR((B17*(1+D17))-C17,"")</f>
        <v/>
      </c>
      <c r="G17">
        <f>IFERROR(IF(F17&lt;=0,"On target - no action",IF(E17&lt;D17/2,"Critical: realized markup under half of target - audit billing","Raise markup or add flat materials fee")),"")</f>
        <v/>
      </c>
    </row>
    <row r="18">
      <c r="E18">
        <f>IFERROR(IF(B18=0,0,(C18-B18)/B18),"")</f>
        <v/>
      </c>
      <c r="F18">
        <f>IFERROR((B18*(1+D18))-C18,"")</f>
        <v/>
      </c>
      <c r="G18">
        <f>IFERROR(IF(F18&lt;=0,"On target - no action",IF(E18&lt;D18/2,"Critical: realized markup under half of target - audit billing","Raise markup or add flat materials fee")),"")</f>
        <v/>
      </c>
    </row>
    <row r="19">
      <c r="E19">
        <f>IFERROR(IF(B19=0,0,(C19-B19)/B19),"")</f>
        <v/>
      </c>
      <c r="F19">
        <f>IFERROR((B19*(1+D19))-C19,"")</f>
        <v/>
      </c>
      <c r="G19">
        <f>IFERROR(IF(F19&lt;=0,"On target - no action",IF(E19&lt;D19/2,"Critical: realized markup under half of target - audit billing","Raise markup or add flat materials fee")),"")</f>
        <v/>
      </c>
    </row>
    <row r="20">
      <c r="E20">
        <f>IFERROR(IF(B20=0,0,(C20-B20)/B20),"")</f>
        <v/>
      </c>
      <c r="F20">
        <f>IFERROR((B20*(1+D20))-C20,"")</f>
        <v/>
      </c>
      <c r="G20">
        <f>IFERROR(IF(F20&lt;=0,"On target - no action",IF(E20&lt;D20/2,"Critical: realized markup under half of target - audit billing","Raise markup or add flat materials fee")),"")</f>
        <v/>
      </c>
    </row>
    <row r="21">
      <c r="E21">
        <f>IFERROR(IF(B21=0,0,(C21-B21)/B21),"")</f>
        <v/>
      </c>
      <c r="F21">
        <f>IFERROR((B21*(1+D21))-C21,"")</f>
        <v/>
      </c>
      <c r="G21">
        <f>IFERROR(IF(F21&lt;=0,"On target - no action",IF(E21&lt;D21/2,"Critical: realized markup under half of target - audit billing","Raise markup or add flat materials fee")),"")</f>
        <v/>
      </c>
    </row>
    <row r="22">
      <c r="E22">
        <f>IFERROR(IF(B22=0,0,(C22-B22)/B22),"")</f>
        <v/>
      </c>
      <c r="F22">
        <f>IFERROR((B22*(1+D22))-C22,"")</f>
        <v/>
      </c>
      <c r="G22">
        <f>IFERROR(IF(F22&lt;=0,"On target - no action",IF(E22&lt;D22/2,"Critical: realized markup under half of target - audit billing","Raise markup or add flat materials fee")),"")</f>
        <v/>
      </c>
    </row>
    <row r="23">
      <c r="E23">
        <f>IFERROR(IF(B23=0,0,(C23-B23)/B23),"")</f>
        <v/>
      </c>
      <c r="F23">
        <f>IFERROR((B23*(1+D23))-C23,"")</f>
        <v/>
      </c>
      <c r="G23">
        <f>IFERROR(IF(F23&lt;=0,"On target - no action",IF(E23&lt;D23/2,"Critical: realized markup under half of target - audit billing","Raise markup or add flat materials fee")),"")</f>
        <v/>
      </c>
    </row>
    <row r="24">
      <c r="E24">
        <f>IFERROR(IF(B24=0,0,(C24-B24)/B24),"")</f>
        <v/>
      </c>
      <c r="F24">
        <f>IFERROR((B24*(1+D24))-C24,"")</f>
        <v/>
      </c>
      <c r="G24">
        <f>IFERROR(IF(F24&lt;=0,"On target - no action",IF(E24&lt;D24/2,"Critical: realized markup under half of target - audit billing","Raise markup or add flat materials fee")),"")</f>
        <v/>
      </c>
    </row>
  </sheetData>
  <mergeCells count="1">
    <mergeCell ref="A1:G3"/>
  </mergeCells>
  <conditionalFormatting sqref="E6:E24">
    <cfRule type="cellIs" priority="1" operator="lessThan" dxfId="0">
      <formula>0.2</formula>
    </cfRule>
    <cfRule type="cellIs" priority="2" operator="greaterThan" dxfId="1">
      <formula>0.3</formula>
    </cfRule>
  </conditionalFormatting>
  <conditionalFormatting sqref="F6:F24">
    <cfRule type="cellIs" priority="3" operator="greaterThan" dxfId="0">
      <formula>2000</formula>
    </cfRule>
    <cfRule type="cellIs" priority="4" operator="lessThan" dxfId="1">
      <formula>500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5" customWidth="1" min="3" max="3"/>
    <col width="16" customWidth="1" min="4" max="4"/>
    <col width="16" customWidth="1" min="5" max="5"/>
    <col width="21" customWidth="1" min="6" max="6"/>
    <col width="18" customWidth="1" min="7" max="7"/>
  </cols>
  <sheetData>
    <row r="1">
      <c r="A1" s="1" t="inlineStr">
        <is>
          <t>AI INSIGHT SUMMARY:
You purchased $18,400 in materials but billed only $21,000 -- a 14.1% realized markup against your 35% target, leaving $6,400/yr on the table. 61% of the leak traces to small parts under $25 that get installed but never invoiced; adding a flat $18/job shop-materials fee would recover an estimated $5,100/yr. Supplier 'FastParts Co' raised your average unit cost 12% over the last quarter -- the steepest price creep of any vendor -- switching comparable SKUs to 'BuildSupply' saves roughly $1,900/yr. Service Calls show the worst realized markup (8%) while Installs hit 31%, so your leak is concentrated in quick jobs where small parts go untracked.</t>
        </is>
      </c>
    </row>
    <row r="2"/>
    <row r="3"/>
    <row r="4"/>
    <row r="5">
      <c r="A5" s="2" t="inlineStr">
        <is>
          <t>Supplier</t>
        </is>
      </c>
      <c r="B5" s="2" t="inlineStr">
        <is>
          <t>Baseline Avg Unit Cost $</t>
        </is>
      </c>
      <c r="C5" s="2" t="inlineStr">
        <is>
          <t>Current Avg Unit Cost $</t>
        </is>
      </c>
      <c r="D5" s="2" t="inlineStr">
        <is>
          <t>Annual Spend $</t>
        </is>
      </c>
      <c r="E5" s="2" t="inlineStr">
        <is>
          <t>Price Creep %</t>
        </is>
      </c>
      <c r="F5" s="2" t="inlineStr">
        <is>
          <t>Annual Creep Cost $</t>
        </is>
      </c>
      <c r="G5" s="2" t="inlineStr">
        <is>
          <t>Supplier Verdict</t>
        </is>
      </c>
    </row>
    <row r="6">
      <c r="A6" t="inlineStr">
        <is>
          <t>FastParts Co</t>
        </is>
      </c>
      <c r="B6" t="n">
        <v>42</v>
      </c>
      <c r="C6" t="n">
        <v>47</v>
      </c>
      <c r="D6" t="n">
        <v>6200</v>
      </c>
      <c r="E6">
        <f>IFERROR(IF(B6=0,0,(C6-B6)/B6),"")</f>
        <v/>
      </c>
      <c r="F6">
        <f>IFERROR(D6*(E6/(1+E6)),"")</f>
        <v/>
      </c>
      <c r="G6">
        <f>IFERROR(IF(E6&gt;0.1,"Switch or renegotiate - creep over 10%",IF(E6&gt;0.04,"Watch - moderate creep","Stable - keep supplier")),"")</f>
        <v/>
      </c>
    </row>
    <row r="7">
      <c r="A7" t="inlineStr">
        <is>
          <t>BuildSupply</t>
        </is>
      </c>
      <c r="B7" t="n">
        <v>38.5</v>
      </c>
      <c r="C7" t="n">
        <v>39.8</v>
      </c>
      <c r="D7" t="n">
        <v>5400</v>
      </c>
      <c r="E7">
        <f>IFERROR(IF(B7=0,0,(C7-B7)/B7),"")</f>
        <v/>
      </c>
      <c r="F7">
        <f>IFERROR(D7*(E7/(1+E7)),"")</f>
        <v/>
      </c>
      <c r="G7">
        <f>IFERROR(IF(E7&gt;0.1,"Switch or renegotiate - creep over 10%",IF(E7&gt;0.04,"Watch - moderate creep","Stable - keep supplier")),"")</f>
        <v/>
      </c>
    </row>
    <row r="8">
      <c r="A8" t="inlineStr">
        <is>
          <t>ValveDirect</t>
        </is>
      </c>
      <c r="B8" t="n">
        <v>21</v>
      </c>
      <c r="C8" t="n">
        <v>22.5</v>
      </c>
      <c r="D8" t="n">
        <v>3100</v>
      </c>
      <c r="E8">
        <f>IFERROR(IF(B8=0,0,(C8-B8)/B8),"")</f>
        <v/>
      </c>
      <c r="F8">
        <f>IFERROR(D8*(E8/(1+E8)),"")</f>
        <v/>
      </c>
      <c r="G8">
        <f>IFERROR(IF(E8&gt;0.1,"Switch or renegotiate - creep over 10%",IF(E8&gt;0.04,"Watch - moderate creep","Stable - keep supplier")),"")</f>
        <v/>
      </c>
    </row>
    <row r="9">
      <c r="A9" t="inlineStr">
        <is>
          <t>MetroHVAC</t>
        </is>
      </c>
      <c r="B9" t="n">
        <v>65</v>
      </c>
      <c r="C9" t="n">
        <v>66.09999999999999</v>
      </c>
      <c r="D9" t="n">
        <v>4800</v>
      </c>
      <c r="E9">
        <f>IFERROR(IF(B9=0,0,(C9-B9)/B9),"")</f>
        <v/>
      </c>
      <c r="F9">
        <f>IFERROR(D9*(E9/(1+E9)),"")</f>
        <v/>
      </c>
      <c r="G9">
        <f>IFERROR(IF(E9&gt;0.1,"Switch or renegotiate - creep over 10%",IF(E9&gt;0.04,"Watch - moderate creep","Stable - keep supplier")),"")</f>
        <v/>
      </c>
    </row>
    <row r="10">
      <c r="E10">
        <f>IFERROR(IF(B10=0,0,(C10-B10)/B10),"")</f>
        <v/>
      </c>
      <c r="F10">
        <f>IFERROR(D10*(E10/(1+E10)),"")</f>
        <v/>
      </c>
      <c r="G10">
        <f>IFERROR(IF(E10&gt;0.1,"Switch or renegotiate - creep over 10%",IF(E10&gt;0.04,"Watch - moderate creep","Stable - keep supplier")),"")</f>
        <v/>
      </c>
    </row>
    <row r="11">
      <c r="E11">
        <f>IFERROR(IF(B11=0,0,(C11-B11)/B11),"")</f>
        <v/>
      </c>
      <c r="F11">
        <f>IFERROR(D11*(E11/(1+E11)),"")</f>
        <v/>
      </c>
      <c r="G11">
        <f>IFERROR(IF(E11&gt;0.1,"Switch or renegotiate - creep over 10%",IF(E11&gt;0.04,"Watch - moderate creep","Stable - keep supplier")),"")</f>
        <v/>
      </c>
    </row>
    <row r="12">
      <c r="E12">
        <f>IFERROR(IF(B12=0,0,(C12-B12)/B12),"")</f>
        <v/>
      </c>
      <c r="F12">
        <f>IFERROR(D12*(E12/(1+E12)),"")</f>
        <v/>
      </c>
      <c r="G12">
        <f>IFERROR(IF(E12&gt;0.1,"Switch or renegotiate - creep over 10%",IF(E12&gt;0.04,"Watch - moderate creep","Stable - keep supplier")),"")</f>
        <v/>
      </c>
    </row>
    <row r="13">
      <c r="E13">
        <f>IFERROR(IF(B13=0,0,(C13-B13)/B13),"")</f>
        <v/>
      </c>
      <c r="F13">
        <f>IFERROR(D13*(E13/(1+E13)),"")</f>
        <v/>
      </c>
      <c r="G13">
        <f>IFERROR(IF(E13&gt;0.1,"Switch or renegotiate - creep over 10%",IF(E13&gt;0.04,"Watch - moderate creep","Stable - keep supplier")),"")</f>
        <v/>
      </c>
    </row>
    <row r="14">
      <c r="E14">
        <f>IFERROR(IF(B14=0,0,(C14-B14)/B14),"")</f>
        <v/>
      </c>
      <c r="F14">
        <f>IFERROR(D14*(E14/(1+E14)),"")</f>
        <v/>
      </c>
      <c r="G14">
        <f>IFERROR(IF(E14&gt;0.1,"Switch or renegotiate - creep over 10%",IF(E14&gt;0.04,"Watch - moderate creep","Stable - keep supplier")),"")</f>
        <v/>
      </c>
    </row>
    <row r="15">
      <c r="E15">
        <f>IFERROR(IF(B15=0,0,(C15-B15)/B15),"")</f>
        <v/>
      </c>
      <c r="F15">
        <f>IFERROR(D15*(E15/(1+E15)),"")</f>
        <v/>
      </c>
      <c r="G15">
        <f>IFERROR(IF(E15&gt;0.1,"Switch or renegotiate - creep over 10%",IF(E15&gt;0.04,"Watch - moderate creep","Stable - keep supplier")),"")</f>
        <v/>
      </c>
    </row>
    <row r="16">
      <c r="E16">
        <f>IFERROR(IF(B16=0,0,(C16-B16)/B16),"")</f>
        <v/>
      </c>
      <c r="F16">
        <f>IFERROR(D16*(E16/(1+E16)),"")</f>
        <v/>
      </c>
      <c r="G16">
        <f>IFERROR(IF(E16&gt;0.1,"Switch or renegotiate - creep over 10%",IF(E16&gt;0.04,"Watch - moderate creep","Stable - keep supplier")),"")</f>
        <v/>
      </c>
    </row>
    <row r="17">
      <c r="E17">
        <f>IFERROR(IF(B17=0,0,(C17-B17)/B17),"")</f>
        <v/>
      </c>
      <c r="F17">
        <f>IFERROR(D17*(E17/(1+E17)),"")</f>
        <v/>
      </c>
      <c r="G17">
        <f>IFERROR(IF(E17&gt;0.1,"Switch or renegotiate - creep over 10%",IF(E17&gt;0.04,"Watch - moderate creep","Stable - keep supplier")),"")</f>
        <v/>
      </c>
    </row>
    <row r="18">
      <c r="E18">
        <f>IFERROR(IF(B18=0,0,(C18-B18)/B18),"")</f>
        <v/>
      </c>
      <c r="F18">
        <f>IFERROR(D18*(E18/(1+E18)),"")</f>
        <v/>
      </c>
      <c r="G18">
        <f>IFERROR(IF(E18&gt;0.1,"Switch or renegotiate - creep over 10%",IF(E18&gt;0.04,"Watch - moderate creep","Stable - keep supplier")),"")</f>
        <v/>
      </c>
    </row>
    <row r="19">
      <c r="E19">
        <f>IFERROR(IF(B19=0,0,(C19-B19)/B19),"")</f>
        <v/>
      </c>
      <c r="F19">
        <f>IFERROR(D19*(E19/(1+E19)),"")</f>
        <v/>
      </c>
      <c r="G19">
        <f>IFERROR(IF(E19&gt;0.1,"Switch or renegotiate - creep over 10%",IF(E19&gt;0.04,"Watch - moderate creep","Stable - keep supplier")),"")</f>
        <v/>
      </c>
    </row>
    <row r="20">
      <c r="E20">
        <f>IFERROR(IF(B20=0,0,(C20-B20)/B20),"")</f>
        <v/>
      </c>
      <c r="F20">
        <f>IFERROR(D20*(E20/(1+E20)),"")</f>
        <v/>
      </c>
      <c r="G20">
        <f>IFERROR(IF(E20&gt;0.1,"Switch or renegotiate - creep over 10%",IF(E20&gt;0.04,"Watch - moderate creep","Stable - keep supplier")),"")</f>
        <v/>
      </c>
    </row>
    <row r="21">
      <c r="E21">
        <f>IFERROR(IF(B21=0,0,(C21-B21)/B21),"")</f>
        <v/>
      </c>
      <c r="F21">
        <f>IFERROR(D21*(E21/(1+E21)),"")</f>
        <v/>
      </c>
      <c r="G21">
        <f>IFERROR(IF(E21&gt;0.1,"Switch or renegotiate - creep over 10%",IF(E21&gt;0.04,"Watch - moderate creep","Stable - keep supplier")),"")</f>
        <v/>
      </c>
    </row>
    <row r="22">
      <c r="E22">
        <f>IFERROR(IF(B22=0,0,(C22-B22)/B22),"")</f>
        <v/>
      </c>
      <c r="F22">
        <f>IFERROR(D22*(E22/(1+E22)),"")</f>
        <v/>
      </c>
      <c r="G22">
        <f>IFERROR(IF(E22&gt;0.1,"Switch or renegotiate - creep over 10%",IF(E22&gt;0.04,"Watch - moderate creep","Stable - keep supplier")),"")</f>
        <v/>
      </c>
    </row>
    <row r="23">
      <c r="E23">
        <f>IFERROR(IF(B23=0,0,(C23-B23)/B23),"")</f>
        <v/>
      </c>
      <c r="F23">
        <f>IFERROR(D23*(E23/(1+E23)),"")</f>
        <v/>
      </c>
      <c r="G23">
        <f>IFERROR(IF(E23&gt;0.1,"Switch or renegotiate - creep over 10%",IF(E23&gt;0.04,"Watch - moderate creep","Stable - keep supplier")),"")</f>
        <v/>
      </c>
    </row>
    <row r="24">
      <c r="E24">
        <f>IFERROR(IF(B24=0,0,(C24-B24)/B24),"")</f>
        <v/>
      </c>
      <c r="F24">
        <f>IFERROR(D24*(E24/(1+E24)),"")</f>
        <v/>
      </c>
      <c r="G24">
        <f>IFERROR(IF(E24&gt;0.1,"Switch or renegotiate - creep over 10%",IF(E24&gt;0.04,"Watch - moderate creep","Stable - keep supplier")),"")</f>
        <v/>
      </c>
    </row>
  </sheetData>
  <mergeCells count="1">
    <mergeCell ref="A1:G3"/>
  </mergeCells>
  <conditionalFormatting sqref="E6:E24">
    <cfRule type="cellIs" priority="1" operator="greaterThan" dxfId="0">
      <formula>0.1</formula>
    </cfRule>
    <cfRule type="cellIs" priority="2" operator="greaterThan" dxfId="2">
      <formula>0.04</formula>
    </cfRule>
    <cfRule type="cellIs" priority="3" operator="lessThan" dxfId="1">
      <formula>0.04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AI INSIGHT SUMMARY:
You purchased $18,400 in materials but billed only $21,000 -- a 14.1% realized markup against your 35% target, leaving $6,400/yr on the table. 61% of the leak traces to small parts under $25 that get installed but never invoiced; adding a flat $18/job shop-materials fee would recover an estimated $5,100/yr. Supplier 'FastParts Co' raised your average unit cost 12% over the last quarter -- the steepest price creep of any vendor -- switching comparable SKUs to 'BuildSupply' saves roughly $1,900/yr. Service Calls show the worst realized markup (8%) while Installs hit 31%, so your leak is concentrated in quick jobs where small parts go untracked.</t>
        </is>
      </c>
    </row>
    <row r="2"/>
    <row r="3"/>
    <row r="4"/>
    <row r="5">
      <c r="A5" s="2" t="inlineStr">
        <is>
          <t>Leak Source</t>
        </is>
      </c>
      <c r="B5" s="2" t="inlineStr">
        <is>
          <t>Estimated Annual Leak $</t>
        </is>
      </c>
      <c r="C5" s="2" t="inlineStr">
        <is>
          <t>Prescribed Fix</t>
        </is>
      </c>
      <c r="D5" s="2" t="inlineStr">
        <is>
          <t>Estimated Recovery $</t>
        </is>
      </c>
      <c r="E5" s="2" t="inlineStr">
        <is>
          <t>Recovery %</t>
        </is>
      </c>
      <c r="F5" s="2" t="inlineStr">
        <is>
          <t>Priority</t>
        </is>
      </c>
    </row>
    <row r="6">
      <c r="A6" t="inlineStr">
        <is>
          <t>Unbilled small parts under $25</t>
        </is>
      </c>
      <c r="B6" t="n">
        <v>5100</v>
      </c>
      <c r="C6" t="inlineStr">
        <is>
          <t>Add flat $18/job shop-materials fee</t>
        </is>
      </c>
      <c r="D6" t="n">
        <v>5100</v>
      </c>
      <c r="E6">
        <f>IFERROR(IF(B6=0,0,D6/B6),"")</f>
        <v/>
      </c>
      <c r="F6">
        <f>IFERROR(IF(D6&gt;=3000,"1 - Do this first",IF(D6&gt;=1000,"2 - High value","3 - Incremental")),"")</f>
        <v/>
      </c>
    </row>
    <row r="7">
      <c r="A7" t="inlineStr">
        <is>
          <t>Low markup on Service Calls</t>
        </is>
      </c>
      <c r="B7" t="n">
        <v>1090</v>
      </c>
      <c r="C7" t="inlineStr">
        <is>
          <t>Raise Service Call markup to 35%</t>
        </is>
      </c>
      <c r="D7" t="n">
        <v>820</v>
      </c>
      <c r="E7">
        <f>IFERROR(IF(B7=0,0,D7/B7),"")</f>
        <v/>
      </c>
      <c r="F7">
        <f>IFERROR(IF(D7&gt;=3000,"1 - Do this first",IF(D7&gt;=1000,"2 - High value","3 - Incremental")),"")</f>
        <v/>
      </c>
    </row>
    <row r="8">
      <c r="A8" t="inlineStr">
        <is>
          <t>FastParts Co price creep</t>
        </is>
      </c>
      <c r="B8" t="n">
        <v>660</v>
      </c>
      <c r="C8" t="inlineStr">
        <is>
          <t>Switch comparable SKUs to BuildSupply</t>
        </is>
      </c>
      <c r="D8" t="n">
        <v>480</v>
      </c>
      <c r="E8">
        <f>IFERROR(IF(B8=0,0,D8/B8),"")</f>
        <v/>
      </c>
      <c r="F8">
        <f>IFERROR(IF(D8&gt;=3000,"1 - Do this first",IF(D8&gt;=1000,"2 - High value","3 - Incremental")),"")</f>
        <v/>
      </c>
    </row>
    <row r="9">
      <c r="A9" t="inlineStr">
        <is>
          <t>Install markup below target</t>
        </is>
      </c>
      <c r="B9" t="n">
        <v>430</v>
      </c>
      <c r="C9" t="inlineStr">
        <is>
          <t>Add line-item materials surcharge</t>
        </is>
      </c>
      <c r="D9" t="n">
        <v>300</v>
      </c>
      <c r="E9">
        <f>IFERROR(IF(B9=0,0,D9/B9),"")</f>
        <v/>
      </c>
      <c r="F9">
        <f>IFERROR(IF(D9&gt;=3000,"1 - Do this first",IF(D9&gt;=1000,"2 - High value","3 - Incremental")),"")</f>
        <v/>
      </c>
    </row>
    <row r="10">
      <c r="E10">
        <f>IFERROR(IF(B10=0,0,D10/B10),"")</f>
        <v/>
      </c>
      <c r="F10">
        <f>IFERROR(IF(D10&gt;=3000,"1 - Do this first",IF(D10&gt;=1000,"2 - High value","3 - Incremental")),"")</f>
        <v/>
      </c>
    </row>
    <row r="11">
      <c r="E11">
        <f>IFERROR(IF(B11=0,0,D11/B11),"")</f>
        <v/>
      </c>
      <c r="F11">
        <f>IFERROR(IF(D11&gt;=3000,"1 - Do this first",IF(D11&gt;=1000,"2 - High value","3 - Incremental")),"")</f>
        <v/>
      </c>
    </row>
    <row r="12">
      <c r="E12">
        <f>IFERROR(IF(B12=0,0,D12/B12),"")</f>
        <v/>
      </c>
      <c r="F12">
        <f>IFERROR(IF(D12&gt;=3000,"1 - Do this first",IF(D12&gt;=1000,"2 - High value","3 - Incremental")),"")</f>
        <v/>
      </c>
    </row>
    <row r="13">
      <c r="E13">
        <f>IFERROR(IF(B13=0,0,D13/B13),"")</f>
        <v/>
      </c>
      <c r="F13">
        <f>IFERROR(IF(D13&gt;=3000,"1 - Do this first",IF(D13&gt;=1000,"2 - High value","3 - Incremental")),"")</f>
        <v/>
      </c>
    </row>
    <row r="14">
      <c r="E14">
        <f>IFERROR(IF(B14=0,0,D14/B14),"")</f>
        <v/>
      </c>
      <c r="F14">
        <f>IFERROR(IF(D14&gt;=3000,"1 - Do this first",IF(D14&gt;=1000,"2 - High value","3 - Incremental")),"")</f>
        <v/>
      </c>
    </row>
    <row r="15">
      <c r="E15">
        <f>IFERROR(IF(B15=0,0,D15/B15),"")</f>
        <v/>
      </c>
      <c r="F15">
        <f>IFERROR(IF(D15&gt;=3000,"1 - Do this first",IF(D15&gt;=1000,"2 - High value","3 - Incremental")),"")</f>
        <v/>
      </c>
    </row>
    <row r="16">
      <c r="E16">
        <f>IFERROR(IF(B16=0,0,D16/B16),"")</f>
        <v/>
      </c>
      <c r="F16">
        <f>IFERROR(IF(D16&gt;=3000,"1 - Do this first",IF(D16&gt;=1000,"2 - High value","3 - Incremental")),"")</f>
        <v/>
      </c>
    </row>
    <row r="17">
      <c r="E17">
        <f>IFERROR(IF(B17=0,0,D17/B17),"")</f>
        <v/>
      </c>
      <c r="F17">
        <f>IFERROR(IF(D17&gt;=3000,"1 - Do this first",IF(D17&gt;=1000,"2 - High value","3 - Incremental")),"")</f>
        <v/>
      </c>
    </row>
    <row r="18">
      <c r="E18">
        <f>IFERROR(IF(B18=0,0,D18/B18),"")</f>
        <v/>
      </c>
      <c r="F18">
        <f>IFERROR(IF(D18&gt;=3000,"1 - Do this first",IF(D18&gt;=1000,"2 - High value","3 - Incremental")),"")</f>
        <v/>
      </c>
    </row>
    <row r="19">
      <c r="E19">
        <f>IFERROR(IF(B19=0,0,D19/B19),"")</f>
        <v/>
      </c>
      <c r="F19">
        <f>IFERROR(IF(D19&gt;=3000,"1 - Do this first",IF(D19&gt;=1000,"2 - High value","3 - Incremental")),"")</f>
        <v/>
      </c>
    </row>
    <row r="20">
      <c r="E20">
        <f>IFERROR(IF(B20=0,0,D20/B20),"")</f>
        <v/>
      </c>
      <c r="F20">
        <f>IFERROR(IF(D20&gt;=3000,"1 - Do this first",IF(D20&gt;=1000,"2 - High value","3 - Incremental")),"")</f>
        <v/>
      </c>
    </row>
    <row r="21">
      <c r="E21">
        <f>IFERROR(IF(B21=0,0,D21/B21),"")</f>
        <v/>
      </c>
      <c r="F21">
        <f>IFERROR(IF(D21&gt;=3000,"1 - Do this first",IF(D21&gt;=1000,"2 - High value","3 - Incremental")),"")</f>
        <v/>
      </c>
    </row>
    <row r="22">
      <c r="E22">
        <f>IFERROR(IF(B22=0,0,D22/B22),"")</f>
        <v/>
      </c>
      <c r="F22">
        <f>IFERROR(IF(D22&gt;=3000,"1 - Do this first",IF(D22&gt;=1000,"2 - High value","3 - Incremental")),"")</f>
        <v/>
      </c>
    </row>
    <row r="23">
      <c r="E23">
        <f>IFERROR(IF(B23=0,0,D23/B23),"")</f>
        <v/>
      </c>
      <c r="F23">
        <f>IFERROR(IF(D23&gt;=3000,"1 - Do this first",IF(D23&gt;=1000,"2 - High value","3 - Incremental")),"")</f>
        <v/>
      </c>
    </row>
    <row r="24">
      <c r="E24">
        <f>IFERROR(IF(B24=0,0,D24/B24),"")</f>
        <v/>
      </c>
      <c r="F24">
        <f>IFERROR(IF(D24&gt;=3000,"1 - Do this first",IF(D24&gt;=1000,"2 - High value","3 - Incremental")),"")</f>
        <v/>
      </c>
    </row>
  </sheetData>
  <mergeCells count="1">
    <mergeCell ref="A1:F3"/>
  </mergeCells>
  <conditionalFormatting sqref="D6:D24">
    <cfRule type="cellIs" priority="1" operator="greaterThan" dxfId="1">
      <formula>3000</formula>
    </cfRule>
  </conditionalFormatting>
  <conditionalFormatting sqref="E6:E24">
    <cfRule type="cellIs" priority="2" operator="greaterThan" dxfId="1">
      <formula>0.7</formula>
    </cfRule>
    <cfRule type="cellIs" priority="3" operator="lessThan" dxfId="2">
      <formula>0.3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2026-06-29T02:47:47Z</dcterms:created>
  <dcterms:modified xsi:type="dcterms:W3CDTF">2026-06-29T03:44:05Z</dcterms:modified>
</cp:coreProperties>
</file>