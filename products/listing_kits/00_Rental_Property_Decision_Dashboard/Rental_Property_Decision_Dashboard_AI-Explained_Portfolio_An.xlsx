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Performance" sheetId="1" state="visible" r:id="rId1"/>
    <sheet name="Maintenance Trend" sheetId="2" state="visible" r:id="rId2"/>
    <sheet name="Tenant Risk" sheetId="3" state="visible" r:id="rId3"/>
    <sheet name="Portfoli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18" customWidth="1" min="6" max="6"/>
    <col width="21" customWidth="1" min="7" max="7"/>
    <col width="24" customWidth="1" min="8" max="8"/>
    <col width="29" customWidth="1" min="9" max="9"/>
    <col width="16" customWidth="1" min="10" max="10"/>
    <col width="16" customWidth="1" min="11" max="11"/>
    <col width="19" customWidth="1" min="12" max="12"/>
    <col width="18" customWidth="1" min="13" max="13"/>
    <col width="16" customWidth="1" min="14" max="14"/>
  </cols>
  <sheetData>
    <row r="1">
      <c r="A1" s="1" t="inlineStr">
        <is>
          <t>AI INSIGHT SUMMARY:
Property 3 on Elm St is your worst performer with a 4.1% net yield — maintenance has grown 34% YoY and is eating your rent increases. Raising its rent $150/mo to match comps would lift portfolio yield from 5.2% to 6.8%, the single highest-ROI action available this quarter. Tenant at 12 Oak Ave has a late-payment frequency of 4 out of 12 months — flag for lease review at renewal. Two properties carry cap rates above your 6.5% refinance threshold and are candidates for equity extraction. Your portfolio is cash-flow positive overall, but Property 3 and Property 5 are dragging down the average.</t>
        </is>
      </c>
    </row>
    <row r="2"/>
    <row r="3"/>
    <row r="4"/>
    <row r="5">
      <c r="A5" s="2" t="inlineStr">
        <is>
          <t>Property Name</t>
        </is>
      </c>
      <c r="B5" s="2" t="inlineStr">
        <is>
          <t>Purchase Price</t>
        </is>
      </c>
      <c r="C5" s="2" t="inlineStr">
        <is>
          <t>Current Market Value</t>
        </is>
      </c>
      <c r="D5" s="2" t="inlineStr">
        <is>
          <t>Monthly Rent</t>
        </is>
      </c>
      <c r="E5" s="2" t="inlineStr">
        <is>
          <t>Comp Market Rent</t>
        </is>
      </c>
      <c r="F5" s="2" t="inlineStr">
        <is>
          <t>Monthly Mortgage</t>
        </is>
      </c>
      <c r="G5" s="2" t="inlineStr">
        <is>
          <t>Monthly Maintenance</t>
        </is>
      </c>
      <c r="H5" s="2" t="inlineStr">
        <is>
          <t>Monthly Other Expenses</t>
        </is>
      </c>
      <c r="I5" s="2" t="inlineStr">
        <is>
          <t>Annual Net Operating Income</t>
        </is>
      </c>
      <c r="J5" s="2" t="inlineStr">
        <is>
          <t>Net Yield %</t>
        </is>
      </c>
      <c r="K5" s="2" t="inlineStr">
        <is>
          <t>Cap Rate %</t>
        </is>
      </c>
      <c r="L5" s="2" t="inlineStr">
        <is>
          <t>Monthly Cash Flow</t>
        </is>
      </c>
      <c r="M5" s="2" t="inlineStr">
        <is>
          <t>Rent vs Comp Gap</t>
        </is>
      </c>
      <c r="N5" s="2" t="inlineStr">
        <is>
          <t>Verdict</t>
        </is>
      </c>
    </row>
    <row r="6">
      <c r="A6" t="inlineStr">
        <is>
          <t>1 Maple Dr</t>
        </is>
      </c>
      <c r="B6" t="n">
        <v>220000</v>
      </c>
      <c r="C6" t="n">
        <v>285000</v>
      </c>
      <c r="D6" t="n">
        <v>2100</v>
      </c>
      <c r="E6" t="n">
        <v>2150</v>
      </c>
      <c r="F6" t="n">
        <v>1180</v>
      </c>
      <c r="G6" t="n">
        <v>180</v>
      </c>
      <c r="H6" t="n">
        <v>220</v>
      </c>
      <c r="I6">
        <f>IFERROR((D6-G6-H6)*12,"")</f>
        <v/>
      </c>
      <c r="J6">
        <f>IFERROR((I6/C6)*100,"")</f>
        <v/>
      </c>
      <c r="K6">
        <f>IFERROR(((D6-G6-H6)*12/B6)*100,"")</f>
        <v/>
      </c>
      <c r="L6">
        <f>IFERROR(D6-F6-G6-H6,"")</f>
        <v/>
      </c>
      <c r="M6">
        <f>IFERROR(E6-D6,"")</f>
        <v/>
      </c>
      <c r="N6">
        <f>IFERROR(IF(L6&lt;0,"LOSING MONEY - audit expenses or sell",IF(J6&lt;5,"Underperforming - raise rent $"&amp;TEXT(M6,"0")&amp;"/mo to match comps",IF(K6&gt;6.5,"Strong - consider refinance to extract equity","Healthy - hold"))),"")</f>
        <v/>
      </c>
    </row>
    <row r="7">
      <c r="A7" t="inlineStr">
        <is>
          <t>12 Oak Ave</t>
        </is>
      </c>
      <c r="B7" t="n">
        <v>195000</v>
      </c>
      <c r="C7" t="n">
        <v>250000</v>
      </c>
      <c r="D7" t="n">
        <v>1850</v>
      </c>
      <c r="E7" t="n">
        <v>2050</v>
      </c>
      <c r="F7" t="n">
        <v>1050</v>
      </c>
      <c r="G7" t="n">
        <v>240</v>
      </c>
      <c r="H7" t="n">
        <v>190</v>
      </c>
      <c r="I7">
        <f>IFERROR((D7-G7-H7)*12,"")</f>
        <v/>
      </c>
      <c r="J7">
        <f>IFERROR((I7/C7)*100,"")</f>
        <v/>
      </c>
      <c r="K7">
        <f>IFERROR(((D7-G7-H7)*12/B7)*100,"")</f>
        <v/>
      </c>
      <c r="L7">
        <f>IFERROR(D7-F7-G7-H7,"")</f>
        <v/>
      </c>
      <c r="M7">
        <f>IFERROR(E7-D7,"")</f>
        <v/>
      </c>
      <c r="N7">
        <f>IFERROR(IF(L7&lt;0,"LOSING MONEY - audit expenses or sell",IF(J7&lt;5,"Underperforming - raise rent $"&amp;TEXT(M7,"0")&amp;"/mo to match comps",IF(K7&gt;6.5,"Strong - consider refinance to extract equity","Healthy - hold"))),"")</f>
        <v/>
      </c>
    </row>
    <row r="8">
      <c r="A8" t="inlineStr">
        <is>
          <t>3 Elm St</t>
        </is>
      </c>
      <c r="B8" t="n">
        <v>310000</v>
      </c>
      <c r="C8" t="n">
        <v>360000</v>
      </c>
      <c r="D8" t="n">
        <v>2300</v>
      </c>
      <c r="E8" t="n">
        <v>2600</v>
      </c>
      <c r="F8" t="n">
        <v>1450</v>
      </c>
      <c r="G8" t="n">
        <v>410</v>
      </c>
      <c r="H8" t="n">
        <v>300</v>
      </c>
      <c r="I8">
        <f>IFERROR((D8-G8-H8)*12,"")</f>
        <v/>
      </c>
      <c r="J8">
        <f>IFERROR((I8/C8)*100,"")</f>
        <v/>
      </c>
      <c r="K8">
        <f>IFERROR(((D8-G8-H8)*12/B8)*100,"")</f>
        <v/>
      </c>
      <c r="L8">
        <f>IFERROR(D8-F8-G8-H8,"")</f>
        <v/>
      </c>
      <c r="M8">
        <f>IFERROR(E8-D8,"")</f>
        <v/>
      </c>
      <c r="N8">
        <f>IFERROR(IF(L8&lt;0,"LOSING MONEY - audit expenses or sell",IF(J8&lt;5,"Underperforming - raise rent $"&amp;TEXT(M8,"0")&amp;"/mo to match comps",IF(K8&gt;6.5,"Strong - consider refinance to extract equity","Healthy - hold"))),"")</f>
        <v/>
      </c>
    </row>
    <row r="9">
      <c r="A9" t="inlineStr">
        <is>
          <t>5 Birch Ln</t>
        </is>
      </c>
      <c r="B9" t="n">
        <v>280000</v>
      </c>
      <c r="C9" t="n">
        <v>320000</v>
      </c>
      <c r="D9" t="n">
        <v>2000</v>
      </c>
      <c r="E9" t="n">
        <v>2100</v>
      </c>
      <c r="F9" t="n">
        <v>1500</v>
      </c>
      <c r="G9" t="n">
        <v>350</v>
      </c>
      <c r="H9" t="n">
        <v>280</v>
      </c>
      <c r="I9">
        <f>IFERROR((D9-G9-H9)*12,"")</f>
        <v/>
      </c>
      <c r="J9">
        <f>IFERROR((I9/C9)*100,"")</f>
        <v/>
      </c>
      <c r="K9">
        <f>IFERROR(((D9-G9-H9)*12/B9)*100,"")</f>
        <v/>
      </c>
      <c r="L9">
        <f>IFERROR(D9-F9-G9-H9,"")</f>
        <v/>
      </c>
      <c r="M9">
        <f>IFERROR(E9-D9,"")</f>
        <v/>
      </c>
      <c r="N9">
        <f>IFERROR(IF(L9&lt;0,"LOSING MONEY - audit expenses or sell",IF(J9&lt;5,"Underperforming - raise rent $"&amp;TEXT(M9,"0")&amp;"/mo to match comps",IF(K9&gt;6.5,"Strong - consider refinance to extract equity","Healthy - hold"))),"")</f>
        <v/>
      </c>
    </row>
    <row r="10">
      <c r="A10" t="inlineStr">
        <is>
          <t>7 Cedar Ct</t>
        </is>
      </c>
      <c r="B10" t="n">
        <v>240000</v>
      </c>
      <c r="C10" t="n">
        <v>295000</v>
      </c>
      <c r="D10" t="n">
        <v>2200</v>
      </c>
      <c r="E10" t="n">
        <v>2250</v>
      </c>
      <c r="F10" t="n">
        <v>1200</v>
      </c>
      <c r="G10" t="n">
        <v>200</v>
      </c>
      <c r="H10" t="n">
        <v>210</v>
      </c>
      <c r="I10">
        <f>IFERROR((D10-G10-H10)*12,"")</f>
        <v/>
      </c>
      <c r="J10">
        <f>IFERROR((I10/C10)*100,"")</f>
        <v/>
      </c>
      <c r="K10">
        <f>IFERROR(((D10-G10-H10)*12/B10)*100,"")</f>
        <v/>
      </c>
      <c r="L10">
        <f>IFERROR(D10-F10-G10-H10,"")</f>
        <v/>
      </c>
      <c r="M10">
        <f>IFERROR(E10-D10,"")</f>
        <v/>
      </c>
      <c r="N10">
        <f>IFERROR(IF(L10&lt;0,"LOSING MONEY - audit expenses or sell",IF(J10&lt;5,"Underperforming - raise rent $"&amp;TEXT(M10,"0")&amp;"/mo to match comps",IF(K10&gt;6.5,"Strong - consider refinance to extract equity","Healthy - hold"))),"")</f>
        <v/>
      </c>
    </row>
    <row r="11">
      <c r="A11" t="inlineStr">
        <is>
          <t>9 Pine Way</t>
        </is>
      </c>
      <c r="B11" t="n">
        <v>205000</v>
      </c>
      <c r="C11" t="n">
        <v>260000</v>
      </c>
      <c r="D11" t="n">
        <v>1950</v>
      </c>
      <c r="E11" t="n">
        <v>2000</v>
      </c>
      <c r="F11" t="n">
        <v>1100</v>
      </c>
      <c r="G11" t="n">
        <v>220</v>
      </c>
      <c r="H11" t="n">
        <v>200</v>
      </c>
      <c r="I11">
        <f>IFERROR((D11-G11-H11)*12,"")</f>
        <v/>
      </c>
      <c r="J11">
        <f>IFERROR((I11/C11)*100,"")</f>
        <v/>
      </c>
      <c r="K11">
        <f>IFERROR(((D11-G11-H11)*12/B11)*100,"")</f>
        <v/>
      </c>
      <c r="L11">
        <f>IFERROR(D11-F11-G11-H11,"")</f>
        <v/>
      </c>
      <c r="M11">
        <f>IFERROR(E11-D11,"")</f>
        <v/>
      </c>
      <c r="N11">
        <f>IFERROR(IF(L11&lt;0,"LOSING MONEY - audit expenses or sell",IF(J11&lt;5,"Underperforming - raise rent $"&amp;TEXT(M11,"0")&amp;"/mo to match comps",IF(K11&gt;6.5,"Strong - consider refinance to extract equity","Healthy - hold"))),"")</f>
        <v/>
      </c>
    </row>
    <row r="12">
      <c r="I12">
        <f>IFERROR((D12-G12-H12)*12,"")</f>
        <v/>
      </c>
      <c r="J12">
        <f>IFERROR((I12/C12)*100,"")</f>
        <v/>
      </c>
      <c r="K12">
        <f>IFERROR(((D12-G12-H12)*12/B12)*100,"")</f>
        <v/>
      </c>
      <c r="L12">
        <f>IFERROR(D12-F12-G12-H12,"")</f>
        <v/>
      </c>
      <c r="M12">
        <f>IFERROR(E12-D12,"")</f>
        <v/>
      </c>
      <c r="N12">
        <f>IFERROR(IF(L12&lt;0,"LOSING MONEY - audit expenses or sell",IF(J12&lt;5,"Underperforming - raise rent $"&amp;TEXT(M12,"0")&amp;"/mo to match comps",IF(K12&gt;6.5,"Strong - consider refinance to extract equity","Healthy - hold"))),"")</f>
        <v/>
      </c>
    </row>
    <row r="13">
      <c r="I13">
        <f>IFERROR((D13-G13-H13)*12,"")</f>
        <v/>
      </c>
      <c r="J13">
        <f>IFERROR((I13/C13)*100,"")</f>
        <v/>
      </c>
      <c r="K13">
        <f>IFERROR(((D13-G13-H13)*12/B13)*100,"")</f>
        <v/>
      </c>
      <c r="L13">
        <f>IFERROR(D13-F13-G13-H13,"")</f>
        <v/>
      </c>
      <c r="M13">
        <f>IFERROR(E13-D13,"")</f>
        <v/>
      </c>
      <c r="N13">
        <f>IFERROR(IF(L13&lt;0,"LOSING MONEY - audit expenses or sell",IF(J13&lt;5,"Underperforming - raise rent $"&amp;TEXT(M13,"0")&amp;"/mo to match comps",IF(K13&gt;6.5,"Strong - consider refinance to extract equity","Healthy - hold"))),"")</f>
        <v/>
      </c>
    </row>
    <row r="14">
      <c r="I14">
        <f>IFERROR((D14-G14-H14)*12,"")</f>
        <v/>
      </c>
      <c r="J14">
        <f>IFERROR((I14/C14)*100,"")</f>
        <v/>
      </c>
      <c r="K14">
        <f>IFERROR(((D14-G14-H14)*12/B14)*100,"")</f>
        <v/>
      </c>
      <c r="L14">
        <f>IFERROR(D14-F14-G14-H14,"")</f>
        <v/>
      </c>
      <c r="M14">
        <f>IFERROR(E14-D14,"")</f>
        <v/>
      </c>
      <c r="N14">
        <f>IFERROR(IF(L14&lt;0,"LOSING MONEY - audit expenses or sell",IF(J14&lt;5,"Underperforming - raise rent $"&amp;TEXT(M14,"0")&amp;"/mo to match comps",IF(K14&gt;6.5,"Strong - consider refinance to extract equity","Healthy - hold"))),"")</f>
        <v/>
      </c>
    </row>
    <row r="15">
      <c r="I15">
        <f>IFERROR((D15-G15-H15)*12,"")</f>
        <v/>
      </c>
      <c r="J15">
        <f>IFERROR((I15/C15)*100,"")</f>
        <v/>
      </c>
      <c r="K15">
        <f>IFERROR(((D15-G15-H15)*12/B15)*100,"")</f>
        <v/>
      </c>
      <c r="L15">
        <f>IFERROR(D15-F15-G15-H15,"")</f>
        <v/>
      </c>
      <c r="M15">
        <f>IFERROR(E15-D15,"")</f>
        <v/>
      </c>
      <c r="N15">
        <f>IFERROR(IF(L15&lt;0,"LOSING MONEY - audit expenses or sell",IF(J15&lt;5,"Underperforming - raise rent $"&amp;TEXT(M15,"0")&amp;"/mo to match comps",IF(K15&gt;6.5,"Strong - consider refinance to extract equity","Healthy - hold"))),"")</f>
        <v/>
      </c>
    </row>
    <row r="16">
      <c r="I16">
        <f>IFERROR((D16-G16-H16)*12,"")</f>
        <v/>
      </c>
      <c r="J16">
        <f>IFERROR((I16/C16)*100,"")</f>
        <v/>
      </c>
      <c r="K16">
        <f>IFERROR(((D16-G16-H16)*12/B16)*100,"")</f>
        <v/>
      </c>
      <c r="L16">
        <f>IFERROR(D16-F16-G16-H16,"")</f>
        <v/>
      </c>
      <c r="M16">
        <f>IFERROR(E16-D16,"")</f>
        <v/>
      </c>
      <c r="N16">
        <f>IFERROR(IF(L16&lt;0,"LOSING MONEY - audit expenses or sell",IF(J16&lt;5,"Underperforming - raise rent $"&amp;TEXT(M16,"0")&amp;"/mo to match comps",IF(K16&gt;6.5,"Strong - consider refinance to extract equity","Healthy - hold"))),"")</f>
        <v/>
      </c>
    </row>
    <row r="17">
      <c r="I17">
        <f>IFERROR((D17-G17-H17)*12,"")</f>
        <v/>
      </c>
      <c r="J17">
        <f>IFERROR((I17/C17)*100,"")</f>
        <v/>
      </c>
      <c r="K17">
        <f>IFERROR(((D17-G17-H17)*12/B17)*100,"")</f>
        <v/>
      </c>
      <c r="L17">
        <f>IFERROR(D17-F17-G17-H17,"")</f>
        <v/>
      </c>
      <c r="M17">
        <f>IFERROR(E17-D17,"")</f>
        <v/>
      </c>
      <c r="N17">
        <f>IFERROR(IF(L17&lt;0,"LOSING MONEY - audit expenses or sell",IF(J17&lt;5,"Underperforming - raise rent $"&amp;TEXT(M17,"0")&amp;"/mo to match comps",IF(K17&gt;6.5,"Strong - consider refinance to extract equity","Healthy - hold"))),"")</f>
        <v/>
      </c>
    </row>
    <row r="18">
      <c r="I18">
        <f>IFERROR((D18-G18-H18)*12,"")</f>
        <v/>
      </c>
      <c r="J18">
        <f>IFERROR((I18/C18)*100,"")</f>
        <v/>
      </c>
      <c r="K18">
        <f>IFERROR(((D18-G18-H18)*12/B18)*100,"")</f>
        <v/>
      </c>
      <c r="L18">
        <f>IFERROR(D18-F18-G18-H18,"")</f>
        <v/>
      </c>
      <c r="M18">
        <f>IFERROR(E18-D18,"")</f>
        <v/>
      </c>
      <c r="N18">
        <f>IFERROR(IF(L18&lt;0,"LOSING MONEY - audit expenses or sell",IF(J18&lt;5,"Underperforming - raise rent $"&amp;TEXT(M18,"0")&amp;"/mo to match comps",IF(K18&gt;6.5,"Strong - consider refinance to extract equity","Healthy - hold"))),"")</f>
        <v/>
      </c>
    </row>
    <row r="19">
      <c r="I19">
        <f>IFERROR((D19-G19-H19)*12,"")</f>
        <v/>
      </c>
      <c r="J19">
        <f>IFERROR((I19/C19)*100,"")</f>
        <v/>
      </c>
      <c r="K19">
        <f>IFERROR(((D19-G19-H19)*12/B19)*100,"")</f>
        <v/>
      </c>
      <c r="L19">
        <f>IFERROR(D19-F19-G19-H19,"")</f>
        <v/>
      </c>
      <c r="M19">
        <f>IFERROR(E19-D19,"")</f>
        <v/>
      </c>
      <c r="N19">
        <f>IFERROR(IF(L19&lt;0,"LOSING MONEY - audit expenses or sell",IF(J19&lt;5,"Underperforming - raise rent $"&amp;TEXT(M19,"0")&amp;"/mo to match comps",IF(K19&gt;6.5,"Strong - consider refinance to extract equity","Healthy - hold"))),"")</f>
        <v/>
      </c>
    </row>
    <row r="20">
      <c r="I20">
        <f>IFERROR((D20-G20-H20)*12,"")</f>
        <v/>
      </c>
      <c r="J20">
        <f>IFERROR((I20/C20)*100,"")</f>
        <v/>
      </c>
      <c r="K20">
        <f>IFERROR(((D20-G20-H20)*12/B20)*100,"")</f>
        <v/>
      </c>
      <c r="L20">
        <f>IFERROR(D20-F20-G20-H20,"")</f>
        <v/>
      </c>
      <c r="M20">
        <f>IFERROR(E20-D20,"")</f>
        <v/>
      </c>
      <c r="N20">
        <f>IFERROR(IF(L20&lt;0,"LOSING MONEY - audit expenses or sell",IF(J20&lt;5,"Underperforming - raise rent $"&amp;TEXT(M20,"0")&amp;"/mo to match comps",IF(K20&gt;6.5,"Strong - consider refinance to extract equity","Healthy - hold"))),"")</f>
        <v/>
      </c>
    </row>
    <row r="21">
      <c r="I21">
        <f>IFERROR((D21-G21-H21)*12,"")</f>
        <v/>
      </c>
      <c r="J21">
        <f>IFERROR((I21/C21)*100,"")</f>
        <v/>
      </c>
      <c r="K21">
        <f>IFERROR(((D21-G21-H21)*12/B21)*100,"")</f>
        <v/>
      </c>
      <c r="L21">
        <f>IFERROR(D21-F21-G21-H21,"")</f>
        <v/>
      </c>
      <c r="M21">
        <f>IFERROR(E21-D21,"")</f>
        <v/>
      </c>
      <c r="N21">
        <f>IFERROR(IF(L21&lt;0,"LOSING MONEY - audit expenses or sell",IF(J21&lt;5,"Underperforming - raise rent $"&amp;TEXT(M21,"0")&amp;"/mo to match comps",IF(K21&gt;6.5,"Strong - consider refinance to extract equity","Healthy - hold"))),"")</f>
        <v/>
      </c>
    </row>
    <row r="22">
      <c r="I22">
        <f>IFERROR((D22-G22-H22)*12,"")</f>
        <v/>
      </c>
      <c r="J22">
        <f>IFERROR((I22/C22)*100,"")</f>
        <v/>
      </c>
      <c r="K22">
        <f>IFERROR(((D22-G22-H22)*12/B22)*100,"")</f>
        <v/>
      </c>
      <c r="L22">
        <f>IFERROR(D22-F22-G22-H22,"")</f>
        <v/>
      </c>
      <c r="M22">
        <f>IFERROR(E22-D22,"")</f>
        <v/>
      </c>
      <c r="N22">
        <f>IFERROR(IF(L22&lt;0,"LOSING MONEY - audit expenses or sell",IF(J22&lt;5,"Underperforming - raise rent $"&amp;TEXT(M22,"0")&amp;"/mo to match comps",IF(K22&gt;6.5,"Strong - consider refinance to extract equity","Healthy - hold"))),"")</f>
        <v/>
      </c>
    </row>
    <row r="23">
      <c r="I23">
        <f>IFERROR((D23-G23-H23)*12,"")</f>
        <v/>
      </c>
      <c r="J23">
        <f>IFERROR((I23/C23)*100,"")</f>
        <v/>
      </c>
      <c r="K23">
        <f>IFERROR(((D23-G23-H23)*12/B23)*100,"")</f>
        <v/>
      </c>
      <c r="L23">
        <f>IFERROR(D23-F23-G23-H23,"")</f>
        <v/>
      </c>
      <c r="M23">
        <f>IFERROR(E23-D23,"")</f>
        <v/>
      </c>
      <c r="N23">
        <f>IFERROR(IF(L23&lt;0,"LOSING MONEY - audit expenses or sell",IF(J23&lt;5,"Underperforming - raise rent $"&amp;TEXT(M23,"0")&amp;"/mo to match comps",IF(K23&gt;6.5,"Strong - consider refinance to extract equity","Healthy - hold"))),"")</f>
        <v/>
      </c>
    </row>
    <row r="24">
      <c r="I24">
        <f>IFERROR((D24-G24-H24)*12,"")</f>
        <v/>
      </c>
      <c r="J24">
        <f>IFERROR((I24/C24)*100,"")</f>
        <v/>
      </c>
      <c r="K24">
        <f>IFERROR(((D24-G24-H24)*12/B24)*100,"")</f>
        <v/>
      </c>
      <c r="L24">
        <f>IFERROR(D24-F24-G24-H24,"")</f>
        <v/>
      </c>
      <c r="M24">
        <f>IFERROR(E24-D24,"")</f>
        <v/>
      </c>
      <c r="N24">
        <f>IFERROR(IF(L24&lt;0,"LOSING MONEY - audit expenses or sell",IF(J24&lt;5,"Underperforming - raise rent $"&amp;TEXT(M24,"0")&amp;"/mo to match comps",IF(K24&gt;6.5,"Strong - consider refinance to extract equity","Healthy - hold"))),"")</f>
        <v/>
      </c>
    </row>
    <row r="25">
      <c r="I25">
        <f>IFERROR((D25-G25-H25)*12,"")</f>
        <v/>
      </c>
      <c r="J25">
        <f>IFERROR((I25/C25)*100,"")</f>
        <v/>
      </c>
      <c r="K25">
        <f>IFERROR(((D25-G25-H25)*12/B25)*100,"")</f>
        <v/>
      </c>
      <c r="L25">
        <f>IFERROR(D25-F25-G25-H25,"")</f>
        <v/>
      </c>
      <c r="M25">
        <f>IFERROR(E25-D25,"")</f>
        <v/>
      </c>
      <c r="N25">
        <f>IFERROR(IF(L25&lt;0,"LOSING MONEY - audit expenses or sell",IF(J25&lt;5,"Underperforming - raise rent $"&amp;TEXT(M25,"0")&amp;"/mo to match comps",IF(K25&gt;6.5,"Strong - consider refinance to extract equity","Healthy - hold"))),"")</f>
        <v/>
      </c>
    </row>
    <row r="26">
      <c r="I26">
        <f>IFERROR((D26-G26-H26)*12,"")</f>
        <v/>
      </c>
      <c r="J26">
        <f>IFERROR((I26/C26)*100,"")</f>
        <v/>
      </c>
      <c r="K26">
        <f>IFERROR(((D26-G26-H26)*12/B26)*100,"")</f>
        <v/>
      </c>
      <c r="L26">
        <f>IFERROR(D26-F26-G26-H26,"")</f>
        <v/>
      </c>
      <c r="M26">
        <f>IFERROR(E26-D26,"")</f>
        <v/>
      </c>
      <c r="N26">
        <f>IFERROR(IF(L26&lt;0,"LOSING MONEY - audit expenses or sell",IF(J26&lt;5,"Underperforming - raise rent $"&amp;TEXT(M26,"0")&amp;"/mo to match comps",IF(K26&gt;6.5,"Strong - consider refinance to extract equity","Healthy - hold"))),"")</f>
        <v/>
      </c>
    </row>
  </sheetData>
  <mergeCells count="1">
    <mergeCell ref="A1:N3"/>
  </mergeCells>
  <conditionalFormatting sqref="J6:J26">
    <cfRule type="cellIs" priority="1" operator="lessThan" dxfId="0">
      <formula>5</formula>
    </cfRule>
    <cfRule type="cellIs" priority="2" operator="greaterThan" dxfId="1">
      <formula>7</formula>
    </cfRule>
  </conditionalFormatting>
  <conditionalFormatting sqref="L6:L26">
    <cfRule type="cellIs" priority="3" operator="lessThan" dxfId="0">
      <formula>0</formula>
    </cfRule>
  </conditionalFormatting>
  <conditionalFormatting sqref="K6:K26">
    <cfRule type="cellIs" priority="4" operator="greaterThan" dxfId="1">
      <formula>6.5</formula>
    </cfRule>
  </conditionalFormatting>
  <conditionalFormatting sqref="M6:M26">
    <cfRule type="cellIs" priority="5" operator="greaterThan" dxfId="2">
      <formula>100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2" customWidth="1" min="4" max="4"/>
    <col width="22" customWidth="1" min="5" max="5"/>
    <col width="28" customWidth="1" min="6" max="6"/>
    <col width="19" customWidth="1" min="7" max="7"/>
  </cols>
  <sheetData>
    <row r="1">
      <c r="A1" s="1" t="inlineStr">
        <is>
          <t>AI INSIGHT SUMMARY:
Property 3 on Elm St is your worst performer with a 4.1% net yield — maintenance has grown 34% YoY and is eating your rent increases. Raising its rent $150/mo to match comps would lift portfolio yield from 5.2% to 6.8%, the single highest-ROI action available this quarter. Tenant at 12 Oak Ave has a late-payment frequency of 4 out of 12 months — flag for lease review at renewal. Two properties carry cap rates above your 6.5% refinance threshold and are candidates for equity extraction. Your portfolio is cash-flow positive overall, but Property 3 and Property 5 are dragging down the average.</t>
        </is>
      </c>
    </row>
    <row r="2"/>
    <row r="3"/>
    <row r="4"/>
    <row r="5">
      <c r="A5" s="2" t="inlineStr">
        <is>
          <t>Property Name</t>
        </is>
      </c>
      <c r="B5" s="2" t="inlineStr">
        <is>
          <t>Maintenance Last Year</t>
        </is>
      </c>
      <c r="C5" s="2" t="inlineStr">
        <is>
          <t>Maintenance This Year</t>
        </is>
      </c>
      <c r="D5" s="2" t="inlineStr">
        <is>
          <t>Annual Rent Increase</t>
        </is>
      </c>
      <c r="E5" s="2" t="inlineStr">
        <is>
          <t>Maintenance Growth %</t>
        </is>
      </c>
      <c r="F5" s="2" t="inlineStr">
        <is>
          <t>Maintenance Eats Rent Gain</t>
        </is>
      </c>
      <c r="G5" s="2" t="inlineStr">
        <is>
          <t>Maintenance Alert</t>
        </is>
      </c>
    </row>
    <row r="6">
      <c r="A6" t="inlineStr">
        <is>
          <t>1 Maple Dr</t>
        </is>
      </c>
      <c r="B6" t="n">
        <v>1900</v>
      </c>
      <c r="C6" t="n">
        <v>2160</v>
      </c>
      <c r="D6" t="n">
        <v>600</v>
      </c>
      <c r="E6">
        <f>IFERROR(((C6-B6)/B6)*100,"")</f>
        <v/>
      </c>
      <c r="F6">
        <f>IFERROR((C6-B6)-D6,"")</f>
        <v/>
      </c>
      <c r="G6">
        <f>IFERROR(IF(F6&gt;0,"Maintenance growth ($"&amp;TEXT(C6-B6,"0")&amp;") exceeds your rent increase - audit before renewal",IF(E6&gt;25,"Costs rising fast - watch closely","Under control")),"")</f>
        <v/>
      </c>
    </row>
    <row r="7">
      <c r="A7" t="inlineStr">
        <is>
          <t>12 Oak Ave</t>
        </is>
      </c>
      <c r="B7" t="n">
        <v>2600</v>
      </c>
      <c r="C7" t="n">
        <v>2880</v>
      </c>
      <c r="D7" t="n">
        <v>300</v>
      </c>
      <c r="E7">
        <f>IFERROR(((C7-B7)/B7)*100,"")</f>
        <v/>
      </c>
      <c r="F7">
        <f>IFERROR((C7-B7)-D7,"")</f>
        <v/>
      </c>
      <c r="G7">
        <f>IFERROR(IF(F7&gt;0,"Maintenance growth ($"&amp;TEXT(C7-B7,"0")&amp;") exceeds your rent increase - audit before renewal",IF(E7&gt;25,"Costs rising fast - watch closely","Under control")),"")</f>
        <v/>
      </c>
    </row>
    <row r="8">
      <c r="A8" t="inlineStr">
        <is>
          <t>3 Elm St</t>
        </is>
      </c>
      <c r="B8" t="n">
        <v>3680</v>
      </c>
      <c r="C8" t="n">
        <v>4920</v>
      </c>
      <c r="D8" t="n">
        <v>600</v>
      </c>
      <c r="E8">
        <f>IFERROR(((C8-B8)/B8)*100,"")</f>
        <v/>
      </c>
      <c r="F8">
        <f>IFERROR((C8-B8)-D8,"")</f>
        <v/>
      </c>
      <c r="G8">
        <f>IFERROR(IF(F8&gt;0,"Maintenance growth ($"&amp;TEXT(C8-B8,"0")&amp;") exceeds your rent increase - audit before renewal",IF(E8&gt;25,"Costs rising fast - watch closely","Under control")),"")</f>
        <v/>
      </c>
    </row>
    <row r="9">
      <c r="A9" t="inlineStr">
        <is>
          <t>5 Birch Ln</t>
        </is>
      </c>
      <c r="B9" t="n">
        <v>3900</v>
      </c>
      <c r="C9" t="n">
        <v>4200</v>
      </c>
      <c r="D9" t="n">
        <v>200</v>
      </c>
      <c r="E9">
        <f>IFERROR(((C9-B9)/B9)*100,"")</f>
        <v/>
      </c>
      <c r="F9">
        <f>IFERROR((C9-B9)-D9,"")</f>
        <v/>
      </c>
      <c r="G9">
        <f>IFERROR(IF(F9&gt;0,"Maintenance growth ($"&amp;TEXT(C9-B9,"0")&amp;") exceeds your rent increase - audit before renewal",IF(E9&gt;25,"Costs rising fast - watch closely","Under control")),"")</f>
        <v/>
      </c>
    </row>
    <row r="10">
      <c r="A10" t="inlineStr">
        <is>
          <t>7 Cedar Ct</t>
        </is>
      </c>
      <c r="B10" t="n">
        <v>2300</v>
      </c>
      <c r="C10" t="n">
        <v>2400</v>
      </c>
      <c r="D10" t="n">
        <v>500</v>
      </c>
      <c r="E10">
        <f>IFERROR(((C10-B10)/B10)*100,"")</f>
        <v/>
      </c>
      <c r="F10">
        <f>IFERROR((C10-B10)-D10,"")</f>
        <v/>
      </c>
      <c r="G10">
        <f>IFERROR(IF(F10&gt;0,"Maintenance growth ($"&amp;TEXT(C10-B10,"0")&amp;") exceeds your rent increase - audit before renewal",IF(E10&gt;25,"Costs rising fast - watch closely","Under control")),"")</f>
        <v/>
      </c>
    </row>
    <row r="11">
      <c r="A11" t="inlineStr">
        <is>
          <t>9 Pine Way</t>
        </is>
      </c>
      <c r="B11" t="n">
        <v>2500</v>
      </c>
      <c r="C11" t="n">
        <v>2640</v>
      </c>
      <c r="D11" t="n">
        <v>400</v>
      </c>
      <c r="E11">
        <f>IFERROR(((C11-B11)/B11)*100,"")</f>
        <v/>
      </c>
      <c r="F11">
        <f>IFERROR((C11-B11)-D11,"")</f>
        <v/>
      </c>
      <c r="G11">
        <f>IFERROR(IF(F11&gt;0,"Maintenance growth ($"&amp;TEXT(C11-B11,"0")&amp;") exceeds your rent increase - audit before renewal",IF(E11&gt;25,"Costs rising fast - watch closely","Under control")),"")</f>
        <v/>
      </c>
    </row>
    <row r="12">
      <c r="E12">
        <f>IFERROR(((C12-B12)/B12)*100,"")</f>
        <v/>
      </c>
      <c r="F12">
        <f>IFERROR((C12-B12)-D12,"")</f>
        <v/>
      </c>
      <c r="G12">
        <f>IFERROR(IF(F12&gt;0,"Maintenance growth ($"&amp;TEXT(C12-B12,"0")&amp;") exceeds your rent increase - audit before renewal",IF(E12&gt;25,"Costs rising fast - watch closely","Under control")),"")</f>
        <v/>
      </c>
    </row>
    <row r="13">
      <c r="E13">
        <f>IFERROR(((C13-B13)/B13)*100,"")</f>
        <v/>
      </c>
      <c r="F13">
        <f>IFERROR((C13-B13)-D13,"")</f>
        <v/>
      </c>
      <c r="G13">
        <f>IFERROR(IF(F13&gt;0,"Maintenance growth ($"&amp;TEXT(C13-B13,"0")&amp;") exceeds your rent increase - audit before renewal",IF(E13&gt;25,"Costs rising fast - watch closely","Under control")),"")</f>
        <v/>
      </c>
    </row>
    <row r="14">
      <c r="E14">
        <f>IFERROR(((C14-B14)/B14)*100,"")</f>
        <v/>
      </c>
      <c r="F14">
        <f>IFERROR((C14-B14)-D14,"")</f>
        <v/>
      </c>
      <c r="G14">
        <f>IFERROR(IF(F14&gt;0,"Maintenance growth ($"&amp;TEXT(C14-B14,"0")&amp;") exceeds your rent increase - audit before renewal",IF(E14&gt;25,"Costs rising fast - watch closely","Under control")),"")</f>
        <v/>
      </c>
    </row>
    <row r="15">
      <c r="E15">
        <f>IFERROR(((C15-B15)/B15)*100,"")</f>
        <v/>
      </c>
      <c r="F15">
        <f>IFERROR((C15-B15)-D15,"")</f>
        <v/>
      </c>
      <c r="G15">
        <f>IFERROR(IF(F15&gt;0,"Maintenance growth ($"&amp;TEXT(C15-B15,"0")&amp;") exceeds your rent increase - audit before renewal",IF(E15&gt;25,"Costs rising fast - watch closely","Under control")),"")</f>
        <v/>
      </c>
    </row>
    <row r="16">
      <c r="E16">
        <f>IFERROR(((C16-B16)/B16)*100,"")</f>
        <v/>
      </c>
      <c r="F16">
        <f>IFERROR((C16-B16)-D16,"")</f>
        <v/>
      </c>
      <c r="G16">
        <f>IFERROR(IF(F16&gt;0,"Maintenance growth ($"&amp;TEXT(C16-B16,"0")&amp;") exceeds your rent increase - audit before renewal",IF(E16&gt;25,"Costs rising fast - watch closely","Under control")),"")</f>
        <v/>
      </c>
    </row>
    <row r="17">
      <c r="E17">
        <f>IFERROR(((C17-B17)/B17)*100,"")</f>
        <v/>
      </c>
      <c r="F17">
        <f>IFERROR((C17-B17)-D17,"")</f>
        <v/>
      </c>
      <c r="G17">
        <f>IFERROR(IF(F17&gt;0,"Maintenance growth ($"&amp;TEXT(C17-B17,"0")&amp;") exceeds your rent increase - audit before renewal",IF(E17&gt;25,"Costs rising fast - watch closely","Under control")),"")</f>
        <v/>
      </c>
    </row>
    <row r="18">
      <c r="E18">
        <f>IFERROR(((C18-B18)/B18)*100,"")</f>
        <v/>
      </c>
      <c r="F18">
        <f>IFERROR((C18-B18)-D18,"")</f>
        <v/>
      </c>
      <c r="G18">
        <f>IFERROR(IF(F18&gt;0,"Maintenance growth ($"&amp;TEXT(C18-B18,"0")&amp;") exceeds your rent increase - audit before renewal",IF(E18&gt;25,"Costs rising fast - watch closely","Under control")),"")</f>
        <v/>
      </c>
    </row>
    <row r="19">
      <c r="E19">
        <f>IFERROR(((C19-B19)/B19)*100,"")</f>
        <v/>
      </c>
      <c r="F19">
        <f>IFERROR((C19-B19)-D19,"")</f>
        <v/>
      </c>
      <c r="G19">
        <f>IFERROR(IF(F19&gt;0,"Maintenance growth ($"&amp;TEXT(C19-B19,"0")&amp;") exceeds your rent increase - audit before renewal",IF(E19&gt;25,"Costs rising fast - watch closely","Under control")),"")</f>
        <v/>
      </c>
    </row>
    <row r="20">
      <c r="E20">
        <f>IFERROR(((C20-B20)/B20)*100,"")</f>
        <v/>
      </c>
      <c r="F20">
        <f>IFERROR((C20-B20)-D20,"")</f>
        <v/>
      </c>
      <c r="G20">
        <f>IFERROR(IF(F20&gt;0,"Maintenance growth ($"&amp;TEXT(C20-B20,"0")&amp;") exceeds your rent increase - audit before renewal",IF(E20&gt;25,"Costs rising fast - watch closely","Under control")),"")</f>
        <v/>
      </c>
    </row>
    <row r="21">
      <c r="E21">
        <f>IFERROR(((C21-B21)/B21)*100,"")</f>
        <v/>
      </c>
      <c r="F21">
        <f>IFERROR((C21-B21)-D21,"")</f>
        <v/>
      </c>
      <c r="G21">
        <f>IFERROR(IF(F21&gt;0,"Maintenance growth ($"&amp;TEXT(C21-B21,"0")&amp;") exceeds your rent increase - audit before renewal",IF(E21&gt;25,"Costs rising fast - watch closely","Under control")),"")</f>
        <v/>
      </c>
    </row>
    <row r="22">
      <c r="E22">
        <f>IFERROR(((C22-B22)/B22)*100,"")</f>
        <v/>
      </c>
      <c r="F22">
        <f>IFERROR((C22-B22)-D22,"")</f>
        <v/>
      </c>
      <c r="G22">
        <f>IFERROR(IF(F22&gt;0,"Maintenance growth ($"&amp;TEXT(C22-B22,"0")&amp;") exceeds your rent increase - audit before renewal",IF(E22&gt;25,"Costs rising fast - watch closely","Under control")),"")</f>
        <v/>
      </c>
    </row>
    <row r="23">
      <c r="E23">
        <f>IFERROR(((C23-B23)/B23)*100,"")</f>
        <v/>
      </c>
      <c r="F23">
        <f>IFERROR((C23-B23)-D23,"")</f>
        <v/>
      </c>
      <c r="G23">
        <f>IFERROR(IF(F23&gt;0,"Maintenance growth ($"&amp;TEXT(C23-B23,"0")&amp;") exceeds your rent increase - audit before renewal",IF(E23&gt;25,"Costs rising fast - watch closely","Under control")),"")</f>
        <v/>
      </c>
    </row>
    <row r="24">
      <c r="E24">
        <f>IFERROR(((C24-B24)/B24)*100,"")</f>
        <v/>
      </c>
      <c r="F24">
        <f>IFERROR((C24-B24)-D24,"")</f>
        <v/>
      </c>
      <c r="G24">
        <f>IFERROR(IF(F24&gt;0,"Maintenance growth ($"&amp;TEXT(C24-B24,"0")&amp;") exceeds your rent increase - audit before renewal",IF(E24&gt;25,"Costs rising fast - watch closely","Under control")),"")</f>
        <v/>
      </c>
    </row>
    <row r="25">
      <c r="E25">
        <f>IFERROR(((C25-B25)/B25)*100,"")</f>
        <v/>
      </c>
      <c r="F25">
        <f>IFERROR((C25-B25)-D25,"")</f>
        <v/>
      </c>
      <c r="G25">
        <f>IFERROR(IF(F25&gt;0,"Maintenance growth ($"&amp;TEXT(C25-B25,"0")&amp;") exceeds your rent increase - audit before renewal",IF(E25&gt;25,"Costs rising fast - watch closely","Under control")),"")</f>
        <v/>
      </c>
    </row>
    <row r="26">
      <c r="E26">
        <f>IFERROR(((C26-B26)/B26)*100,"")</f>
        <v/>
      </c>
      <c r="F26">
        <f>IFERROR((C26-B26)-D26,"")</f>
        <v/>
      </c>
      <c r="G26">
        <f>IFERROR(IF(F26&gt;0,"Maintenance growth ($"&amp;TEXT(C26-B26,"0")&amp;") exceeds your rent increase - audit before renewal",IF(E26&gt;25,"Costs rising fast - watch closely","Under control")),"")</f>
        <v/>
      </c>
    </row>
  </sheetData>
  <mergeCells count="1">
    <mergeCell ref="A1:G3"/>
  </mergeCells>
  <conditionalFormatting sqref="E6:E26">
    <cfRule type="cellIs" priority="1" operator="greaterThan" dxfId="0">
      <formula>25</formula>
    </cfRule>
    <cfRule type="cellIs" priority="2" operator="greaterThan" dxfId="2">
      <formula>10</formula>
    </cfRule>
  </conditionalFormatting>
  <conditionalFormatting sqref="F6:F26">
    <cfRule type="cellIs" priority="3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9" customWidth="1" min="7" max="7"/>
    <col width="16" customWidth="1" min="8" max="8"/>
  </cols>
  <sheetData>
    <row r="1">
      <c r="A1" s="1" t="inlineStr">
        <is>
          <t>AI INSIGHT SUMMARY:
Property 3 on Elm St is your worst performer with a 4.1% net yield — maintenance has grown 34% YoY and is eating your rent increases. Raising its rent $150/mo to match comps would lift portfolio yield from 5.2% to 6.8%, the single highest-ROI action available this quarter. Tenant at 12 Oak Ave has a late-payment frequency of 4 out of 12 months — flag for lease review at renewal. Two properties carry cap rates above your 6.5% refinance threshold and are candidates for equity extraction. Your portfolio is cash-flow positive overall, but Property 3 and Property 5 are dragging down the average.</t>
        </is>
      </c>
    </row>
    <row r="2"/>
    <row r="3"/>
    <row r="4"/>
    <row r="5">
      <c r="A5" s="2" t="inlineStr">
        <is>
          <t>Property Name</t>
        </is>
      </c>
      <c r="B5" s="2" t="inlineStr">
        <is>
          <t>Tenant Name</t>
        </is>
      </c>
      <c r="C5" s="2" t="inlineStr">
        <is>
          <t>Months Tracked</t>
        </is>
      </c>
      <c r="D5" s="2" t="inlineStr">
        <is>
          <t>Late Payments</t>
        </is>
      </c>
      <c r="E5" s="2" t="inlineStr">
        <is>
          <t>Months Behind</t>
        </is>
      </c>
      <c r="F5" s="2" t="inlineStr">
        <is>
          <t>Late Payment Rate %</t>
        </is>
      </c>
      <c r="G5" s="2" t="inlineStr">
        <is>
          <t>Tenant Risk Score</t>
        </is>
      </c>
      <c r="H5" s="2" t="inlineStr">
        <is>
          <t>Risk Verdict</t>
        </is>
      </c>
    </row>
    <row r="6">
      <c r="A6" t="inlineStr">
        <is>
          <t>1 Maple Dr</t>
        </is>
      </c>
      <c r="B6" t="inlineStr">
        <is>
          <t>J. Carter</t>
        </is>
      </c>
      <c r="C6" t="n">
        <v>12</v>
      </c>
      <c r="D6" t="n">
        <v>0</v>
      </c>
      <c r="E6" t="n">
        <v>0</v>
      </c>
      <c r="F6">
        <f>IFERROR((D6/C6)*100,"")</f>
        <v/>
      </c>
      <c r="G6">
        <f>IFERROR(ROUND((F6/10)+(E6*2),1),"")</f>
        <v/>
      </c>
      <c r="H6">
        <f>IFERROR(IF(E6&gt;0,"HIGH RISK - "&amp;E6&amp;" months behind, begin formal notice",IF(F6&gt;25,"Pattern risk - "&amp;D6&amp;" late in "&amp;C6&amp;" months, flag at renewal",IF(F6&gt;0,"Minor - monitor","Reliable"))),"")</f>
        <v/>
      </c>
    </row>
    <row r="7">
      <c r="A7" t="inlineStr">
        <is>
          <t>12 Oak Ave</t>
        </is>
      </c>
      <c r="B7" t="inlineStr">
        <is>
          <t>M. Reyes</t>
        </is>
      </c>
      <c r="C7" t="n">
        <v>12</v>
      </c>
      <c r="D7" t="n">
        <v>4</v>
      </c>
      <c r="E7" t="n">
        <v>0</v>
      </c>
      <c r="F7">
        <f>IFERROR((D7/C7)*100,"")</f>
        <v/>
      </c>
      <c r="G7">
        <f>IFERROR(ROUND((F7/10)+(E7*2),1),"")</f>
        <v/>
      </c>
      <c r="H7">
        <f>IFERROR(IF(E7&gt;0,"HIGH RISK - "&amp;E7&amp;" months behind, begin formal notice",IF(F7&gt;25,"Pattern risk - "&amp;D7&amp;" late in "&amp;C7&amp;" months, flag at renewal",IF(F7&gt;0,"Minor - monitor","Reliable"))),"")</f>
        <v/>
      </c>
    </row>
    <row r="8">
      <c r="A8" t="inlineStr">
        <is>
          <t>3 Elm St</t>
        </is>
      </c>
      <c r="B8" t="inlineStr">
        <is>
          <t>T. Nguyen</t>
        </is>
      </c>
      <c r="C8" t="n">
        <v>12</v>
      </c>
      <c r="D8" t="n">
        <v>1</v>
      </c>
      <c r="E8" t="n">
        <v>0</v>
      </c>
      <c r="F8">
        <f>IFERROR((D8/C8)*100,"")</f>
        <v/>
      </c>
      <c r="G8">
        <f>IFERROR(ROUND((F8/10)+(E8*2),1),"")</f>
        <v/>
      </c>
      <c r="H8">
        <f>IFERROR(IF(E8&gt;0,"HIGH RISK - "&amp;E8&amp;" months behind, begin formal notice",IF(F8&gt;25,"Pattern risk - "&amp;D8&amp;" late in "&amp;C8&amp;" months, flag at renewal",IF(F8&gt;0,"Minor - monitor","Reliable"))),"")</f>
        <v/>
      </c>
    </row>
    <row r="9">
      <c r="A9" t="inlineStr">
        <is>
          <t>5 Birch Ln</t>
        </is>
      </c>
      <c r="B9" t="inlineStr">
        <is>
          <t>D. Okafor</t>
        </is>
      </c>
      <c r="C9" t="n">
        <v>10</v>
      </c>
      <c r="D9" t="n">
        <v>5</v>
      </c>
      <c r="E9" t="n">
        <v>1</v>
      </c>
      <c r="F9">
        <f>IFERROR((D9/C9)*100,"")</f>
        <v/>
      </c>
      <c r="G9">
        <f>IFERROR(ROUND((F9/10)+(E9*2),1),"")</f>
        <v/>
      </c>
      <c r="H9">
        <f>IFERROR(IF(E9&gt;0,"HIGH RISK - "&amp;E9&amp;" months behind, begin formal notice",IF(F9&gt;25,"Pattern risk - "&amp;D9&amp;" late in "&amp;C9&amp;" months, flag at renewal",IF(F9&gt;0,"Minor - monitor","Reliable"))),"")</f>
        <v/>
      </c>
    </row>
    <row r="10">
      <c r="A10" t="inlineStr">
        <is>
          <t>7 Cedar Ct</t>
        </is>
      </c>
      <c r="B10" t="inlineStr">
        <is>
          <t>L. Smith</t>
        </is>
      </c>
      <c r="C10" t="n">
        <v>12</v>
      </c>
      <c r="D10" t="n">
        <v>0</v>
      </c>
      <c r="E10" t="n">
        <v>0</v>
      </c>
      <c r="F10">
        <f>IFERROR((D10/C10)*100,"")</f>
        <v/>
      </c>
      <c r="G10">
        <f>IFERROR(ROUND((F10/10)+(E10*2),1),"")</f>
        <v/>
      </c>
      <c r="H10">
        <f>IFERROR(IF(E10&gt;0,"HIGH RISK - "&amp;E10&amp;" months behind, begin formal notice",IF(F10&gt;25,"Pattern risk - "&amp;D10&amp;" late in "&amp;C10&amp;" months, flag at renewal",IF(F10&gt;0,"Minor - monitor","Reliable"))),"")</f>
        <v/>
      </c>
    </row>
    <row r="11">
      <c r="A11" t="inlineStr">
        <is>
          <t>9 Pine Way</t>
        </is>
      </c>
      <c r="B11" t="inlineStr">
        <is>
          <t>R. Patel</t>
        </is>
      </c>
      <c r="C11" t="n">
        <v>8</v>
      </c>
      <c r="D11" t="n">
        <v>2</v>
      </c>
      <c r="E11" t="n">
        <v>0</v>
      </c>
      <c r="F11">
        <f>IFERROR((D11/C11)*100,"")</f>
        <v/>
      </c>
      <c r="G11">
        <f>IFERROR(ROUND((F11/10)+(E11*2),1),"")</f>
        <v/>
      </c>
      <c r="H11">
        <f>IFERROR(IF(E11&gt;0,"HIGH RISK - "&amp;E11&amp;" months behind, begin formal notice",IF(F11&gt;25,"Pattern risk - "&amp;D11&amp;" late in "&amp;C11&amp;" months, flag at renewal",IF(F11&gt;0,"Minor - monitor","Reliable"))),"")</f>
        <v/>
      </c>
    </row>
    <row r="12">
      <c r="F12">
        <f>IFERROR((D12/C12)*100,"")</f>
        <v/>
      </c>
      <c r="G12">
        <f>IFERROR(ROUND((F12/10)+(E12*2),1),"")</f>
        <v/>
      </c>
      <c r="H12">
        <f>IFERROR(IF(E12&gt;0,"HIGH RISK - "&amp;E12&amp;" months behind, begin formal notice",IF(F12&gt;25,"Pattern risk - "&amp;D12&amp;" late in "&amp;C12&amp;" months, flag at renewal",IF(F12&gt;0,"Minor - monitor","Reliable"))),"")</f>
        <v/>
      </c>
    </row>
    <row r="13">
      <c r="F13">
        <f>IFERROR((D13/C13)*100,"")</f>
        <v/>
      </c>
      <c r="G13">
        <f>IFERROR(ROUND((F13/10)+(E13*2),1),"")</f>
        <v/>
      </c>
      <c r="H13">
        <f>IFERROR(IF(E13&gt;0,"HIGH RISK - "&amp;E13&amp;" months behind, begin formal notice",IF(F13&gt;25,"Pattern risk - "&amp;D13&amp;" late in "&amp;C13&amp;" months, flag at renewal",IF(F13&gt;0,"Minor - monitor","Reliable"))),"")</f>
        <v/>
      </c>
    </row>
    <row r="14">
      <c r="F14">
        <f>IFERROR((D14/C14)*100,"")</f>
        <v/>
      </c>
      <c r="G14">
        <f>IFERROR(ROUND((F14/10)+(E14*2),1),"")</f>
        <v/>
      </c>
      <c r="H14">
        <f>IFERROR(IF(E14&gt;0,"HIGH RISK - "&amp;E14&amp;" months behind, begin formal notice",IF(F14&gt;25,"Pattern risk - "&amp;D14&amp;" late in "&amp;C14&amp;" months, flag at renewal",IF(F14&gt;0,"Minor - monitor","Reliable"))),"")</f>
        <v/>
      </c>
    </row>
    <row r="15">
      <c r="F15">
        <f>IFERROR((D15/C15)*100,"")</f>
        <v/>
      </c>
      <c r="G15">
        <f>IFERROR(ROUND((F15/10)+(E15*2),1),"")</f>
        <v/>
      </c>
      <c r="H15">
        <f>IFERROR(IF(E15&gt;0,"HIGH RISK - "&amp;E15&amp;" months behind, begin formal notice",IF(F15&gt;25,"Pattern risk - "&amp;D15&amp;" late in "&amp;C15&amp;" months, flag at renewal",IF(F15&gt;0,"Minor - monitor","Reliable"))),"")</f>
        <v/>
      </c>
    </row>
    <row r="16">
      <c r="F16">
        <f>IFERROR((D16/C16)*100,"")</f>
        <v/>
      </c>
      <c r="G16">
        <f>IFERROR(ROUND((F16/10)+(E16*2),1),"")</f>
        <v/>
      </c>
      <c r="H16">
        <f>IFERROR(IF(E16&gt;0,"HIGH RISK - "&amp;E16&amp;" months behind, begin formal notice",IF(F16&gt;25,"Pattern risk - "&amp;D16&amp;" late in "&amp;C16&amp;" months, flag at renewal",IF(F16&gt;0,"Minor - monitor","Reliable"))),"")</f>
        <v/>
      </c>
    </row>
    <row r="17">
      <c r="F17">
        <f>IFERROR((D17/C17)*100,"")</f>
        <v/>
      </c>
      <c r="G17">
        <f>IFERROR(ROUND((F17/10)+(E17*2),1),"")</f>
        <v/>
      </c>
      <c r="H17">
        <f>IFERROR(IF(E17&gt;0,"HIGH RISK - "&amp;E17&amp;" months behind, begin formal notice",IF(F17&gt;25,"Pattern risk - "&amp;D17&amp;" late in "&amp;C17&amp;" months, flag at renewal",IF(F17&gt;0,"Minor - monitor","Reliable"))),"")</f>
        <v/>
      </c>
    </row>
    <row r="18">
      <c r="F18">
        <f>IFERROR((D18/C18)*100,"")</f>
        <v/>
      </c>
      <c r="G18">
        <f>IFERROR(ROUND((F18/10)+(E18*2),1),"")</f>
        <v/>
      </c>
      <c r="H18">
        <f>IFERROR(IF(E18&gt;0,"HIGH RISK - "&amp;E18&amp;" months behind, begin formal notice",IF(F18&gt;25,"Pattern risk - "&amp;D18&amp;" late in "&amp;C18&amp;" months, flag at renewal",IF(F18&gt;0,"Minor - monitor","Reliable"))),"")</f>
        <v/>
      </c>
    </row>
    <row r="19">
      <c r="F19">
        <f>IFERROR((D19/C19)*100,"")</f>
        <v/>
      </c>
      <c r="G19">
        <f>IFERROR(ROUND((F19/10)+(E19*2),1),"")</f>
        <v/>
      </c>
      <c r="H19">
        <f>IFERROR(IF(E19&gt;0,"HIGH RISK - "&amp;E19&amp;" months behind, begin formal notice",IF(F19&gt;25,"Pattern risk - "&amp;D19&amp;" late in "&amp;C19&amp;" months, flag at renewal",IF(F19&gt;0,"Minor - monitor","Reliable"))),"")</f>
        <v/>
      </c>
    </row>
    <row r="20">
      <c r="F20">
        <f>IFERROR((D20/C20)*100,"")</f>
        <v/>
      </c>
      <c r="G20">
        <f>IFERROR(ROUND((F20/10)+(E20*2),1),"")</f>
        <v/>
      </c>
      <c r="H20">
        <f>IFERROR(IF(E20&gt;0,"HIGH RISK - "&amp;E20&amp;" months behind, begin formal notice",IF(F20&gt;25,"Pattern risk - "&amp;D20&amp;" late in "&amp;C20&amp;" months, flag at renewal",IF(F20&gt;0,"Minor - monitor","Reliable"))),"")</f>
        <v/>
      </c>
    </row>
    <row r="21">
      <c r="F21">
        <f>IFERROR((D21/C21)*100,"")</f>
        <v/>
      </c>
      <c r="G21">
        <f>IFERROR(ROUND((F21/10)+(E21*2),1),"")</f>
        <v/>
      </c>
      <c r="H21">
        <f>IFERROR(IF(E21&gt;0,"HIGH RISK - "&amp;E21&amp;" months behind, begin formal notice",IF(F21&gt;25,"Pattern risk - "&amp;D21&amp;" late in "&amp;C21&amp;" months, flag at renewal",IF(F21&gt;0,"Minor - monitor","Reliable"))),"")</f>
        <v/>
      </c>
    </row>
    <row r="22">
      <c r="F22">
        <f>IFERROR((D22/C22)*100,"")</f>
        <v/>
      </c>
      <c r="G22">
        <f>IFERROR(ROUND((F22/10)+(E22*2),1),"")</f>
        <v/>
      </c>
      <c r="H22">
        <f>IFERROR(IF(E22&gt;0,"HIGH RISK - "&amp;E22&amp;" months behind, begin formal notice",IF(F22&gt;25,"Pattern risk - "&amp;D22&amp;" late in "&amp;C22&amp;" months, flag at renewal",IF(F22&gt;0,"Minor - monitor","Reliable"))),"")</f>
        <v/>
      </c>
    </row>
    <row r="23">
      <c r="F23">
        <f>IFERROR((D23/C23)*100,"")</f>
        <v/>
      </c>
      <c r="G23">
        <f>IFERROR(ROUND((F23/10)+(E23*2),1),"")</f>
        <v/>
      </c>
      <c r="H23">
        <f>IFERROR(IF(E23&gt;0,"HIGH RISK - "&amp;E23&amp;" months behind, begin formal notice",IF(F23&gt;25,"Pattern risk - "&amp;D23&amp;" late in "&amp;C23&amp;" months, flag at renewal",IF(F23&gt;0,"Minor - monitor","Reliable"))),"")</f>
        <v/>
      </c>
    </row>
    <row r="24">
      <c r="F24">
        <f>IFERROR((D24/C24)*100,"")</f>
        <v/>
      </c>
      <c r="G24">
        <f>IFERROR(ROUND((F24/10)+(E24*2),1),"")</f>
        <v/>
      </c>
      <c r="H24">
        <f>IFERROR(IF(E24&gt;0,"HIGH RISK - "&amp;E24&amp;" months behind, begin formal notice",IF(F24&gt;25,"Pattern risk - "&amp;D24&amp;" late in "&amp;C24&amp;" months, flag at renewal",IF(F24&gt;0,"Minor - monitor","Reliable"))),"")</f>
        <v/>
      </c>
    </row>
    <row r="25">
      <c r="F25">
        <f>IFERROR((D25/C25)*100,"")</f>
        <v/>
      </c>
      <c r="G25">
        <f>IFERROR(ROUND((F25/10)+(E25*2),1),"")</f>
        <v/>
      </c>
      <c r="H25">
        <f>IFERROR(IF(E25&gt;0,"HIGH RISK - "&amp;E25&amp;" months behind, begin formal notice",IF(F25&gt;25,"Pattern risk - "&amp;D25&amp;" late in "&amp;C25&amp;" months, flag at renewal",IF(F25&gt;0,"Minor - monitor","Reliable"))),"")</f>
        <v/>
      </c>
    </row>
    <row r="26">
      <c r="F26">
        <f>IFERROR((D26/C26)*100,"")</f>
        <v/>
      </c>
      <c r="G26">
        <f>IFERROR(ROUND((F26/10)+(E26*2),1),"")</f>
        <v/>
      </c>
      <c r="H26">
        <f>IFERROR(IF(E26&gt;0,"HIGH RISK - "&amp;E26&amp;" months behind, begin formal notice",IF(F26&gt;25,"Pattern risk - "&amp;D26&amp;" late in "&amp;C26&amp;" months, flag at renewal",IF(F26&gt;0,"Minor - monitor","Reliable"))),"")</f>
        <v/>
      </c>
    </row>
  </sheetData>
  <mergeCells count="1">
    <mergeCell ref="A1:H3"/>
  </mergeCells>
  <conditionalFormatting sqref="F6:F26">
    <cfRule type="cellIs" priority="1" operator="greaterThan" dxfId="0">
      <formula>25</formula>
    </cfRule>
    <cfRule type="cellIs" priority="2" operator="greaterThan" dxfId="2">
      <formula>10</formula>
    </cfRule>
  </conditionalFormatting>
  <conditionalFormatting sqref="G6:G26">
    <cfRule type="cellIs" priority="3" operator="greaterThan" dxfId="0">
      <formula>4</formula>
    </cfRule>
  </conditionalFormatting>
  <conditionalFormatting sqref="E6:E26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AI INSIGHT SUMMARY:
Property 3 on Elm St is your worst performer with a 4.1% net yield — maintenance has grown 34% YoY and is eating your rent increases. Raising its rent $150/mo to match comps would lift portfolio yield from 5.2% to 6.8%, the single highest-ROI action available this quarter. Tenant at 12 Oak Ave has a late-payment frequency of 4 out of 12 months — flag for lease review at renewal. Two properties carry cap rates above your 6.5% refinance threshold and are candidates for equity extraction. Your portfolio is cash-flow positive overall, but Property 3 and Property 5 are dragging down the average.</t>
        </is>
      </c>
    </row>
    <row r="2"/>
    <row r="3"/>
    <row r="4"/>
    <row r="5">
      <c r="A5" s="2" t="inlineStr">
        <is>
          <t>Metric</t>
        </is>
      </c>
      <c r="B5" s="2" t="inlineStr">
        <is>
          <t>Current Value</t>
        </is>
      </c>
      <c r="C5" s="2" t="inlineStr">
        <is>
          <t>Target</t>
        </is>
      </c>
      <c r="D5" s="2" t="inlineStr">
        <is>
          <t>Status</t>
        </is>
      </c>
      <c r="E5" s="2" t="inlineStr">
        <is>
          <t>Recommended Action</t>
        </is>
      </c>
    </row>
    <row r="6">
      <c r="A6" t="inlineStr">
        <is>
          <t>Portfolio Net Yield %</t>
        </is>
      </c>
      <c r="B6" t="n">
        <v>5.2</v>
      </c>
      <c r="C6" t="n">
        <v>6.5</v>
      </c>
      <c r="D6">
        <f>IFERROR(IF(B6&gt;=C6,"On Target","Below Target"),"")</f>
        <v/>
      </c>
      <c r="E6">
        <f>IFERROR(IF(B6&gt;=C6,"No action needed","Gap of "&amp;TEXT(C6-B6,"0.00")&amp;" - review weakest property on Property Performance tab"),"")</f>
        <v/>
      </c>
    </row>
    <row r="7">
      <c r="A7" t="inlineStr">
        <is>
          <t>Avg Cap Rate %</t>
        </is>
      </c>
      <c r="B7" t="n">
        <v>6.4</v>
      </c>
      <c r="C7" t="n">
        <v>6.5</v>
      </c>
      <c r="D7">
        <f>IFERROR(IF(B7&gt;=C7,"On Target","Below Target"),"")</f>
        <v/>
      </c>
      <c r="E7">
        <f>IFERROR(IF(B7&gt;=C7,"No action needed","Gap of "&amp;TEXT(C7-B7,"0.00")&amp;" - review weakest property on Property Performance tab"),"")</f>
        <v/>
      </c>
    </row>
    <row r="8">
      <c r="A8" t="inlineStr">
        <is>
          <t>Total Monthly Cash Flow</t>
        </is>
      </c>
      <c r="B8" t="n">
        <v>1700</v>
      </c>
      <c r="C8" t="n">
        <v>2000</v>
      </c>
      <c r="D8">
        <f>IFERROR(IF(B8&gt;=C8,"On Target","Below Target"),"")</f>
        <v/>
      </c>
      <c r="E8">
        <f>IFERROR(IF(B8&gt;=C8,"No action needed","Gap of "&amp;TEXT(C8-B8,"0.00")&amp;" - review weakest property on Property Performance tab"),"")</f>
        <v/>
      </c>
    </row>
    <row r="9">
      <c r="A9" t="inlineStr">
        <is>
          <t>High-Risk Tenants</t>
        </is>
      </c>
      <c r="B9" t="n">
        <v>0</v>
      </c>
      <c r="C9" t="n">
        <v>0</v>
      </c>
      <c r="D9">
        <f>IFERROR(IF(B9&gt;=C9,"On Target","Below Target"),"")</f>
        <v/>
      </c>
      <c r="E9">
        <f>IFERROR(IF(B9&gt;=C9,"No action needed","Gap of "&amp;TEXT(C9-B9,"0.00")&amp;" - review weakest property on Property Performance tab"),"")</f>
        <v/>
      </c>
    </row>
    <row r="10">
      <c r="D10">
        <f>IFERROR(IF(B10&gt;=C10,"On Target","Below Target"),"")</f>
        <v/>
      </c>
      <c r="E10">
        <f>IFERROR(IF(B10&gt;=C10,"No action needed","Gap of "&amp;TEXT(C10-B10,"0.00")&amp;" - review weakest property on Property Performance tab"),"")</f>
        <v/>
      </c>
    </row>
    <row r="11">
      <c r="D11">
        <f>IFERROR(IF(B11&gt;=C11,"On Target","Below Target"),"")</f>
        <v/>
      </c>
      <c r="E11">
        <f>IFERROR(IF(B11&gt;=C11,"No action needed","Gap of "&amp;TEXT(C11-B11,"0.00")&amp;" - review weakest property on Property Performance tab"),"")</f>
        <v/>
      </c>
    </row>
    <row r="12">
      <c r="D12">
        <f>IFERROR(IF(B12&gt;=C12,"On Target","Below Target"),"")</f>
        <v/>
      </c>
      <c r="E12">
        <f>IFERROR(IF(B12&gt;=C12,"No action needed","Gap of "&amp;TEXT(C12-B12,"0.00")&amp;" - review weakest property on Property Performance tab"),"")</f>
        <v/>
      </c>
    </row>
    <row r="13">
      <c r="D13">
        <f>IFERROR(IF(B13&gt;=C13,"On Target","Below Target"),"")</f>
        <v/>
      </c>
      <c r="E13">
        <f>IFERROR(IF(B13&gt;=C13,"No action needed","Gap of "&amp;TEXT(C13-B13,"0.00")&amp;" - review weakest property on Property Performance tab"),"")</f>
        <v/>
      </c>
    </row>
    <row r="14">
      <c r="D14">
        <f>IFERROR(IF(B14&gt;=C14,"On Target","Below Target"),"")</f>
        <v/>
      </c>
      <c r="E14">
        <f>IFERROR(IF(B14&gt;=C14,"No action needed","Gap of "&amp;TEXT(C14-B14,"0.00")&amp;" - review weakest property on Property Performance tab"),"")</f>
        <v/>
      </c>
    </row>
    <row r="15">
      <c r="D15">
        <f>IFERROR(IF(B15&gt;=C15,"On Target","Below Target"),"")</f>
        <v/>
      </c>
      <c r="E15">
        <f>IFERROR(IF(B15&gt;=C15,"No action needed","Gap of "&amp;TEXT(C15-B15,"0.00")&amp;" - review weakest property on Property Performance tab"),"")</f>
        <v/>
      </c>
    </row>
    <row r="16">
      <c r="D16">
        <f>IFERROR(IF(B16&gt;=C16,"On Target","Below Target"),"")</f>
        <v/>
      </c>
      <c r="E16">
        <f>IFERROR(IF(B16&gt;=C16,"No action needed","Gap of "&amp;TEXT(C16-B16,"0.00")&amp;" - review weakest property on Property Performance tab"),"")</f>
        <v/>
      </c>
    </row>
    <row r="17">
      <c r="D17">
        <f>IFERROR(IF(B17&gt;=C17,"On Target","Below Target"),"")</f>
        <v/>
      </c>
      <c r="E17">
        <f>IFERROR(IF(B17&gt;=C17,"No action needed","Gap of "&amp;TEXT(C17-B17,"0.00")&amp;" - review weakest property on Property Performance tab"),"")</f>
        <v/>
      </c>
    </row>
    <row r="18">
      <c r="D18">
        <f>IFERROR(IF(B18&gt;=C18,"On Target","Below Target"),"")</f>
        <v/>
      </c>
      <c r="E18">
        <f>IFERROR(IF(B18&gt;=C18,"No action needed","Gap of "&amp;TEXT(C18-B18,"0.00")&amp;" - review weakest property on Property Performance tab"),"")</f>
        <v/>
      </c>
    </row>
    <row r="19">
      <c r="D19">
        <f>IFERROR(IF(B19&gt;=C19,"On Target","Below Target"),"")</f>
        <v/>
      </c>
      <c r="E19">
        <f>IFERROR(IF(B19&gt;=C19,"No action needed","Gap of "&amp;TEXT(C19-B19,"0.00")&amp;" - review weakest property on Property Performance tab"),"")</f>
        <v/>
      </c>
    </row>
    <row r="20">
      <c r="D20">
        <f>IFERROR(IF(B20&gt;=C20,"On Target","Below Target"),"")</f>
        <v/>
      </c>
      <c r="E20">
        <f>IFERROR(IF(B20&gt;=C20,"No action needed","Gap of "&amp;TEXT(C20-B20,"0.00")&amp;" - review weakest property on Property Performance tab"),"")</f>
        <v/>
      </c>
    </row>
    <row r="21">
      <c r="D21">
        <f>IFERROR(IF(B21&gt;=C21,"On Target","Below Target"),"")</f>
        <v/>
      </c>
      <c r="E21">
        <f>IFERROR(IF(B21&gt;=C21,"No action needed","Gap of "&amp;TEXT(C21-B21,"0.00")&amp;" - review weakest property on Property Performance tab"),"")</f>
        <v/>
      </c>
    </row>
    <row r="22">
      <c r="D22">
        <f>IFERROR(IF(B22&gt;=C22,"On Target","Below Target"),"")</f>
        <v/>
      </c>
      <c r="E22">
        <f>IFERROR(IF(B22&gt;=C22,"No action needed","Gap of "&amp;TEXT(C22-B22,"0.00")&amp;" - review weakest property on Property Performance tab"),"")</f>
        <v/>
      </c>
    </row>
    <row r="23">
      <c r="D23">
        <f>IFERROR(IF(B23&gt;=C23,"On Target","Below Target"),"")</f>
        <v/>
      </c>
      <c r="E23">
        <f>IFERROR(IF(B23&gt;=C23,"No action needed","Gap of "&amp;TEXT(C23-B23,"0.00")&amp;" - review weakest property on Property Performance tab"),"")</f>
        <v/>
      </c>
    </row>
    <row r="24">
      <c r="D24">
        <f>IFERROR(IF(B24&gt;=C24,"On Target","Below Target"),"")</f>
        <v/>
      </c>
      <c r="E24">
        <f>IFERROR(IF(B24&gt;=C24,"No action needed","Gap of "&amp;TEXT(C24-B24,"0.00")&amp;" - review weakest property on Property Performance tab"),"")</f>
        <v/>
      </c>
    </row>
  </sheetData>
  <mergeCells count="1">
    <mergeCell ref="A1:E3"/>
  </mergeCells>
  <conditionalFormatting sqref="B6:B24">
    <cfRule type="cellIs" priority="1" operator="lessThan" dxfId="0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2026-06-29T02:36:57Z</dcterms:created>
  <dcterms:modified xsi:type="dcterms:W3CDTF">2026-06-29T03:44:04Z</dcterms:modified>
</cp:coreProperties>
</file>