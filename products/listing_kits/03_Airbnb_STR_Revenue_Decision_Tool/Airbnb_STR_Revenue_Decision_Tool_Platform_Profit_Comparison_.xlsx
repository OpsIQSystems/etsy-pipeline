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 Log" sheetId="1" state="visible" r:id="rId1"/>
    <sheet name="Platform Comparison" sheetId="2" state="visible" r:id="rId2"/>
    <sheet name="Monthly Yield" sheetId="3" state="visible" r:id="rId3"/>
    <sheet name="Personal Use Calcul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8" customWidth="1" min="12" max="12"/>
    <col width="16" customWidth="1" min="13" max="13"/>
  </cols>
  <sheetData>
    <row r="1">
      <c r="A1" s="1" t="inlineStr">
        <is>
          <t>AI INSIGHT SUMMARY:
Your 2-night bookings generate $172 net after fees and cleaning vs. $338 for 4+ night stays — short stays are eroding your margin despite high occupancy. Setting a 3-night minimum in July would block an estimated 6 low-yield bookings and increase net revenue by approximately $840. Airbnb is costing you 3.1% more in effective fees than VRBO on comparable stays; shifting marginal bookings to direct could recover $1,240 annually. Your August personal-use block has an opportunity cost of $2,150 in foregone net revenue — consider shifting personal stays to the shoulder season. Net revenue per available night (RevPAN), not occupancy, is the metric that should drive your calendar decisions.</t>
        </is>
      </c>
    </row>
    <row r="2"/>
    <row r="3"/>
    <row r="4"/>
    <row r="5">
      <c r="A5" s="2" t="inlineStr">
        <is>
          <t>Booking ID</t>
        </is>
      </c>
      <c r="B5" s="2" t="inlineStr">
        <is>
          <t>Platform</t>
        </is>
      </c>
      <c r="C5" s="2" t="inlineStr">
        <is>
          <t>Check-In Date</t>
        </is>
      </c>
      <c r="D5" s="2" t="inlineStr">
        <is>
          <t>Nights</t>
        </is>
      </c>
      <c r="E5" s="2" t="inlineStr">
        <is>
          <t>Lead Time Days</t>
        </is>
      </c>
      <c r="F5" s="2" t="inlineStr">
        <is>
          <t>Gross Booking Revenue</t>
        </is>
      </c>
      <c r="G5" s="2" t="inlineStr">
        <is>
          <t>Platform Fee</t>
        </is>
      </c>
      <c r="H5" s="2" t="inlineStr">
        <is>
          <t>Cleaning Cost</t>
        </is>
      </c>
      <c r="I5" s="2" t="inlineStr">
        <is>
          <t>Net Revenue</t>
        </is>
      </c>
      <c r="J5" s="2" t="inlineStr">
        <is>
          <t>Net Per Night</t>
        </is>
      </c>
      <c r="K5" s="2" t="inlineStr">
        <is>
          <t>Effective Fee %</t>
        </is>
      </c>
      <c r="L5" s="2" t="inlineStr">
        <is>
          <t>Stay Length Tier</t>
        </is>
      </c>
      <c r="M5" s="2" t="inlineStr">
        <is>
          <t>Yield Verdict</t>
        </is>
      </c>
    </row>
    <row r="6">
      <c r="A6" t="inlineStr">
        <is>
          <t>BK-1001</t>
        </is>
      </c>
      <c r="B6" t="inlineStr">
        <is>
          <t>Airbnb</t>
        </is>
      </c>
      <c r="C6" t="inlineStr">
        <is>
          <t>2024-07-05</t>
        </is>
      </c>
      <c r="D6" t="n">
        <v>2</v>
      </c>
      <c r="E6" t="n">
        <v>14</v>
      </c>
      <c r="F6" t="n">
        <v>420</v>
      </c>
      <c r="G6" t="n">
        <v>63</v>
      </c>
      <c r="H6" t="n">
        <v>90</v>
      </c>
      <c r="I6">
        <f>IFERROR(F6-G6-H6,"")</f>
        <v/>
      </c>
      <c r="J6">
        <f>IFERROR(IF(D6=0,0,(F6-G6-H6)/D6),"")</f>
        <v/>
      </c>
      <c r="K6">
        <f>IFERROR(IF(F6=0,0,G6/F6),"")</f>
        <v/>
      </c>
      <c r="L6">
        <f>IFERROR(IF(D6&lt;=2,"Short (1-2)",IF(D6&lt;=4,"Mid (3-4)","Long (5+)")),"")</f>
        <v/>
      </c>
      <c r="M6">
        <f>IFERROR(IF(J6&lt;100,"Low yield - raise minimum stay or rate floor",IF(J6&lt;160,"Acceptable - monitor","Strong yield - replicate this booking type")),"")</f>
        <v/>
      </c>
    </row>
    <row r="7">
      <c r="A7" t="inlineStr">
        <is>
          <t>BK-1002</t>
        </is>
      </c>
      <c r="B7" t="inlineStr">
        <is>
          <t>VRBO</t>
        </is>
      </c>
      <c r="C7" t="inlineStr">
        <is>
          <t>2024-07-12</t>
        </is>
      </c>
      <c r="D7" t="n">
        <v>4</v>
      </c>
      <c r="E7" t="n">
        <v>30</v>
      </c>
      <c r="F7" t="n">
        <v>880</v>
      </c>
      <c r="G7" t="n">
        <v>70</v>
      </c>
      <c r="H7" t="n">
        <v>90</v>
      </c>
      <c r="I7">
        <f>IFERROR(F7-G7-H7,"")</f>
        <v/>
      </c>
      <c r="J7">
        <f>IFERROR(IF(D7=0,0,(F7-G7-H7)/D7),"")</f>
        <v/>
      </c>
      <c r="K7">
        <f>IFERROR(IF(F7=0,0,G7/F7),"")</f>
        <v/>
      </c>
      <c r="L7">
        <f>IFERROR(IF(D7&lt;=2,"Short (1-2)",IF(D7&lt;=4,"Mid (3-4)","Long (5+)")),"")</f>
        <v/>
      </c>
      <c r="M7">
        <f>IFERROR(IF(J7&lt;100,"Low yield - raise minimum stay or rate floor",IF(J7&lt;160,"Acceptable - monitor","Strong yield - replicate this booking type")),"")</f>
        <v/>
      </c>
    </row>
    <row r="8">
      <c r="A8" t="inlineStr">
        <is>
          <t>BK-1003</t>
        </is>
      </c>
      <c r="B8" t="inlineStr">
        <is>
          <t>Airbnb</t>
        </is>
      </c>
      <c r="C8" t="inlineStr">
        <is>
          <t>2024-08-02</t>
        </is>
      </c>
      <c r="D8" t="n">
        <v>1</v>
      </c>
      <c r="E8" t="n">
        <v>3</v>
      </c>
      <c r="F8" t="n">
        <v>190</v>
      </c>
      <c r="G8" t="n">
        <v>29</v>
      </c>
      <c r="H8" t="n">
        <v>90</v>
      </c>
      <c r="I8">
        <f>IFERROR(F8-G8-H8,"")</f>
        <v/>
      </c>
      <c r="J8">
        <f>IFERROR(IF(D8=0,0,(F8-G8-H8)/D8),"")</f>
        <v/>
      </c>
      <c r="K8">
        <f>IFERROR(IF(F8=0,0,G8/F8),"")</f>
        <v/>
      </c>
      <c r="L8">
        <f>IFERROR(IF(D8&lt;=2,"Short (1-2)",IF(D8&lt;=4,"Mid (3-4)","Long (5+)")),"")</f>
        <v/>
      </c>
      <c r="M8">
        <f>IFERROR(IF(J8&lt;100,"Low yield - raise minimum stay or rate floor",IF(J8&lt;160,"Acceptable - monitor","Strong yield - replicate this booking type")),"")</f>
        <v/>
      </c>
    </row>
    <row r="9">
      <c r="A9" t="inlineStr">
        <is>
          <t>BK-1004</t>
        </is>
      </c>
      <c r="B9" t="inlineStr">
        <is>
          <t>Direct</t>
        </is>
      </c>
      <c r="C9" t="inlineStr">
        <is>
          <t>2024-08-15</t>
        </is>
      </c>
      <c r="D9" t="n">
        <v>6</v>
      </c>
      <c r="E9" t="n">
        <v>45</v>
      </c>
      <c r="F9" t="n">
        <v>1320</v>
      </c>
      <c r="G9" t="n">
        <v>0</v>
      </c>
      <c r="H9" t="n">
        <v>90</v>
      </c>
      <c r="I9">
        <f>IFERROR(F9-G9-H9,"")</f>
        <v/>
      </c>
      <c r="J9">
        <f>IFERROR(IF(D9=0,0,(F9-G9-H9)/D9),"")</f>
        <v/>
      </c>
      <c r="K9">
        <f>IFERROR(IF(F9=0,0,G9/F9),"")</f>
        <v/>
      </c>
      <c r="L9">
        <f>IFERROR(IF(D9&lt;=2,"Short (1-2)",IF(D9&lt;=4,"Mid (3-4)","Long (5+)")),"")</f>
        <v/>
      </c>
      <c r="M9">
        <f>IFERROR(IF(J9&lt;100,"Low yield - raise minimum stay or rate floor",IF(J9&lt;160,"Acceptable - monitor","Strong yield - replicate this booking type")),"")</f>
        <v/>
      </c>
    </row>
    <row r="10">
      <c r="A10" t="inlineStr">
        <is>
          <t>BK-1005</t>
        </is>
      </c>
      <c r="B10" t="inlineStr">
        <is>
          <t>Airbnb</t>
        </is>
      </c>
      <c r="C10" t="inlineStr">
        <is>
          <t>2024-09-01</t>
        </is>
      </c>
      <c r="D10" t="n">
        <v>3</v>
      </c>
      <c r="E10" t="n">
        <v>10</v>
      </c>
      <c r="F10" t="n">
        <v>540</v>
      </c>
      <c r="G10" t="n">
        <v>81</v>
      </c>
      <c r="H10" t="n">
        <v>90</v>
      </c>
      <c r="I10">
        <f>IFERROR(F10-G10-H10,"")</f>
        <v/>
      </c>
      <c r="J10">
        <f>IFERROR(IF(D10=0,0,(F10-G10-H10)/D10),"")</f>
        <v/>
      </c>
      <c r="K10">
        <f>IFERROR(IF(F10=0,0,G10/F10),"")</f>
        <v/>
      </c>
      <c r="L10">
        <f>IFERROR(IF(D10&lt;=2,"Short (1-2)",IF(D10&lt;=4,"Mid (3-4)","Long (5+)")),"")</f>
        <v/>
      </c>
      <c r="M10">
        <f>IFERROR(IF(J10&lt;100,"Low yield - raise minimum stay or rate floor",IF(J10&lt;160,"Acceptable - monitor","Strong yield - replicate this booking type")),"")</f>
        <v/>
      </c>
    </row>
    <row r="11">
      <c r="A11" t="inlineStr">
        <is>
          <t>BK-1006</t>
        </is>
      </c>
      <c r="B11" t="inlineStr">
        <is>
          <t>VRBO</t>
        </is>
      </c>
      <c r="C11" t="inlineStr">
        <is>
          <t>2024-09-20</t>
        </is>
      </c>
      <c r="D11" t="n">
        <v>2</v>
      </c>
      <c r="E11" t="n">
        <v>7</v>
      </c>
      <c r="F11" t="n">
        <v>360</v>
      </c>
      <c r="G11" t="n">
        <v>29</v>
      </c>
      <c r="H11" t="n">
        <v>90</v>
      </c>
      <c r="I11">
        <f>IFERROR(F11-G11-H11,"")</f>
        <v/>
      </c>
      <c r="J11">
        <f>IFERROR(IF(D11=0,0,(F11-G11-H11)/D11),"")</f>
        <v/>
      </c>
      <c r="K11">
        <f>IFERROR(IF(F11=0,0,G11/F11),"")</f>
        <v/>
      </c>
      <c r="L11">
        <f>IFERROR(IF(D11&lt;=2,"Short (1-2)",IF(D11&lt;=4,"Mid (3-4)","Long (5+)")),"")</f>
        <v/>
      </c>
      <c r="M11">
        <f>IFERROR(IF(J11&lt;100,"Low yield - raise minimum stay or rate floor",IF(J11&lt;160,"Acceptable - monitor","Strong yield - replicate this booking type")),"")</f>
        <v/>
      </c>
    </row>
    <row r="12">
      <c r="I12">
        <f>IFERROR(F12-G12-H12,"")</f>
        <v/>
      </c>
      <c r="J12">
        <f>IFERROR(IF(D12=0,0,(F12-G12-H12)/D12),"")</f>
        <v/>
      </c>
      <c r="K12">
        <f>IFERROR(IF(F12=0,0,G12/F12),"")</f>
        <v/>
      </c>
      <c r="L12">
        <f>IFERROR(IF(D12&lt;=2,"Short (1-2)",IF(D12&lt;=4,"Mid (3-4)","Long (5+)")),"")</f>
        <v/>
      </c>
      <c r="M12">
        <f>IFERROR(IF(J12&lt;100,"Low yield - raise minimum stay or rate floor",IF(J12&lt;160,"Acceptable - monitor","Strong yield - replicate this booking type")),"")</f>
        <v/>
      </c>
    </row>
    <row r="13">
      <c r="I13">
        <f>IFERROR(F13-G13-H13,"")</f>
        <v/>
      </c>
      <c r="J13">
        <f>IFERROR(IF(D13=0,0,(F13-G13-H13)/D13),"")</f>
        <v/>
      </c>
      <c r="K13">
        <f>IFERROR(IF(F13=0,0,G13/F13),"")</f>
        <v/>
      </c>
      <c r="L13">
        <f>IFERROR(IF(D13&lt;=2,"Short (1-2)",IF(D13&lt;=4,"Mid (3-4)","Long (5+)")),"")</f>
        <v/>
      </c>
      <c r="M13">
        <f>IFERROR(IF(J13&lt;100,"Low yield - raise minimum stay or rate floor",IF(J13&lt;160,"Acceptable - monitor","Strong yield - replicate this booking type")),"")</f>
        <v/>
      </c>
    </row>
    <row r="14">
      <c r="I14">
        <f>IFERROR(F14-G14-H14,"")</f>
        <v/>
      </c>
      <c r="J14">
        <f>IFERROR(IF(D14=0,0,(F14-G14-H14)/D14),"")</f>
        <v/>
      </c>
      <c r="K14">
        <f>IFERROR(IF(F14=0,0,G14/F14),"")</f>
        <v/>
      </c>
      <c r="L14">
        <f>IFERROR(IF(D14&lt;=2,"Short (1-2)",IF(D14&lt;=4,"Mid (3-4)","Long (5+)")),"")</f>
        <v/>
      </c>
      <c r="M14">
        <f>IFERROR(IF(J14&lt;100,"Low yield - raise minimum stay or rate floor",IF(J14&lt;160,"Acceptable - monitor","Strong yield - replicate this booking type")),"")</f>
        <v/>
      </c>
    </row>
    <row r="15">
      <c r="I15">
        <f>IFERROR(F15-G15-H15,"")</f>
        <v/>
      </c>
      <c r="J15">
        <f>IFERROR(IF(D15=0,0,(F15-G15-H15)/D15),"")</f>
        <v/>
      </c>
      <c r="K15">
        <f>IFERROR(IF(F15=0,0,G15/F15),"")</f>
        <v/>
      </c>
      <c r="L15">
        <f>IFERROR(IF(D15&lt;=2,"Short (1-2)",IF(D15&lt;=4,"Mid (3-4)","Long (5+)")),"")</f>
        <v/>
      </c>
      <c r="M15">
        <f>IFERROR(IF(J15&lt;100,"Low yield - raise minimum stay or rate floor",IF(J15&lt;160,"Acceptable - monitor","Strong yield - replicate this booking type")),"")</f>
        <v/>
      </c>
    </row>
    <row r="16">
      <c r="I16">
        <f>IFERROR(F16-G16-H16,"")</f>
        <v/>
      </c>
      <c r="J16">
        <f>IFERROR(IF(D16=0,0,(F16-G16-H16)/D16),"")</f>
        <v/>
      </c>
      <c r="K16">
        <f>IFERROR(IF(F16=0,0,G16/F16),"")</f>
        <v/>
      </c>
      <c r="L16">
        <f>IFERROR(IF(D16&lt;=2,"Short (1-2)",IF(D16&lt;=4,"Mid (3-4)","Long (5+)")),"")</f>
        <v/>
      </c>
      <c r="M16">
        <f>IFERROR(IF(J16&lt;100,"Low yield - raise minimum stay or rate floor",IF(J16&lt;160,"Acceptable - monitor","Strong yield - replicate this booking type")),"")</f>
        <v/>
      </c>
    </row>
    <row r="17">
      <c r="I17">
        <f>IFERROR(F17-G17-H17,"")</f>
        <v/>
      </c>
      <c r="J17">
        <f>IFERROR(IF(D17=0,0,(F17-G17-H17)/D17),"")</f>
        <v/>
      </c>
      <c r="K17">
        <f>IFERROR(IF(F17=0,0,G17/F17),"")</f>
        <v/>
      </c>
      <c r="L17">
        <f>IFERROR(IF(D17&lt;=2,"Short (1-2)",IF(D17&lt;=4,"Mid (3-4)","Long (5+)")),"")</f>
        <v/>
      </c>
      <c r="M17">
        <f>IFERROR(IF(J17&lt;100,"Low yield - raise minimum stay or rate floor",IF(J17&lt;160,"Acceptable - monitor","Strong yield - replicate this booking type")),"")</f>
        <v/>
      </c>
    </row>
    <row r="18">
      <c r="I18">
        <f>IFERROR(F18-G18-H18,"")</f>
        <v/>
      </c>
      <c r="J18">
        <f>IFERROR(IF(D18=0,0,(F18-G18-H18)/D18),"")</f>
        <v/>
      </c>
      <c r="K18">
        <f>IFERROR(IF(F18=0,0,G18/F18),"")</f>
        <v/>
      </c>
      <c r="L18">
        <f>IFERROR(IF(D18&lt;=2,"Short (1-2)",IF(D18&lt;=4,"Mid (3-4)","Long (5+)")),"")</f>
        <v/>
      </c>
      <c r="M18">
        <f>IFERROR(IF(J18&lt;100,"Low yield - raise minimum stay or rate floor",IF(J18&lt;160,"Acceptable - monitor","Strong yield - replicate this booking type")),"")</f>
        <v/>
      </c>
    </row>
    <row r="19">
      <c r="I19">
        <f>IFERROR(F19-G19-H19,"")</f>
        <v/>
      </c>
      <c r="J19">
        <f>IFERROR(IF(D19=0,0,(F19-G19-H19)/D19),"")</f>
        <v/>
      </c>
      <c r="K19">
        <f>IFERROR(IF(F19=0,0,G19/F19),"")</f>
        <v/>
      </c>
      <c r="L19">
        <f>IFERROR(IF(D19&lt;=2,"Short (1-2)",IF(D19&lt;=4,"Mid (3-4)","Long (5+)")),"")</f>
        <v/>
      </c>
      <c r="M19">
        <f>IFERROR(IF(J19&lt;100,"Low yield - raise minimum stay or rate floor",IF(J19&lt;160,"Acceptable - monitor","Strong yield - replicate this booking type")),"")</f>
        <v/>
      </c>
    </row>
    <row r="20">
      <c r="I20">
        <f>IFERROR(F20-G20-H20,"")</f>
        <v/>
      </c>
      <c r="J20">
        <f>IFERROR(IF(D20=0,0,(F20-G20-H20)/D20),"")</f>
        <v/>
      </c>
      <c r="K20">
        <f>IFERROR(IF(F20=0,0,G20/F20),"")</f>
        <v/>
      </c>
      <c r="L20">
        <f>IFERROR(IF(D20&lt;=2,"Short (1-2)",IF(D20&lt;=4,"Mid (3-4)","Long (5+)")),"")</f>
        <v/>
      </c>
      <c r="M20">
        <f>IFERROR(IF(J20&lt;100,"Low yield - raise minimum stay or rate floor",IF(J20&lt;160,"Acceptable - monitor","Strong yield - replicate this booking type")),"")</f>
        <v/>
      </c>
    </row>
    <row r="21">
      <c r="I21">
        <f>IFERROR(F21-G21-H21,"")</f>
        <v/>
      </c>
      <c r="J21">
        <f>IFERROR(IF(D21=0,0,(F21-G21-H21)/D21),"")</f>
        <v/>
      </c>
      <c r="K21">
        <f>IFERROR(IF(F21=0,0,G21/F21),"")</f>
        <v/>
      </c>
      <c r="L21">
        <f>IFERROR(IF(D21&lt;=2,"Short (1-2)",IF(D21&lt;=4,"Mid (3-4)","Long (5+)")),"")</f>
        <v/>
      </c>
      <c r="M21">
        <f>IFERROR(IF(J21&lt;100,"Low yield - raise minimum stay or rate floor",IF(J21&lt;160,"Acceptable - monitor","Strong yield - replicate this booking type")),"")</f>
        <v/>
      </c>
    </row>
    <row r="22">
      <c r="I22">
        <f>IFERROR(F22-G22-H22,"")</f>
        <v/>
      </c>
      <c r="J22">
        <f>IFERROR(IF(D22=0,0,(F22-G22-H22)/D22),"")</f>
        <v/>
      </c>
      <c r="K22">
        <f>IFERROR(IF(F22=0,0,G22/F22),"")</f>
        <v/>
      </c>
      <c r="L22">
        <f>IFERROR(IF(D22&lt;=2,"Short (1-2)",IF(D22&lt;=4,"Mid (3-4)","Long (5+)")),"")</f>
        <v/>
      </c>
      <c r="M22">
        <f>IFERROR(IF(J22&lt;100,"Low yield - raise minimum stay or rate floor",IF(J22&lt;160,"Acceptable - monitor","Strong yield - replicate this booking type")),"")</f>
        <v/>
      </c>
    </row>
    <row r="23">
      <c r="I23">
        <f>IFERROR(F23-G23-H23,"")</f>
        <v/>
      </c>
      <c r="J23">
        <f>IFERROR(IF(D23=0,0,(F23-G23-H23)/D23),"")</f>
        <v/>
      </c>
      <c r="K23">
        <f>IFERROR(IF(F23=0,0,G23/F23),"")</f>
        <v/>
      </c>
      <c r="L23">
        <f>IFERROR(IF(D23&lt;=2,"Short (1-2)",IF(D23&lt;=4,"Mid (3-4)","Long (5+)")),"")</f>
        <v/>
      </c>
      <c r="M23">
        <f>IFERROR(IF(J23&lt;100,"Low yield - raise minimum stay or rate floor",IF(J23&lt;160,"Acceptable - monitor","Strong yield - replicate this booking type")),"")</f>
        <v/>
      </c>
    </row>
    <row r="24">
      <c r="I24">
        <f>IFERROR(F24-G24-H24,"")</f>
        <v/>
      </c>
      <c r="J24">
        <f>IFERROR(IF(D24=0,0,(F24-G24-H24)/D24),"")</f>
        <v/>
      </c>
      <c r="K24">
        <f>IFERROR(IF(F24=0,0,G24/F24),"")</f>
        <v/>
      </c>
      <c r="L24">
        <f>IFERROR(IF(D24&lt;=2,"Short (1-2)",IF(D24&lt;=4,"Mid (3-4)","Long (5+)")),"")</f>
        <v/>
      </c>
      <c r="M24">
        <f>IFERROR(IF(J24&lt;100,"Low yield - raise minimum stay or rate floor",IF(J24&lt;160,"Acceptable - monitor","Strong yield - replicate this booking type")),"")</f>
        <v/>
      </c>
    </row>
    <row r="25">
      <c r="I25">
        <f>IFERROR(F25-G25-H25,"")</f>
        <v/>
      </c>
      <c r="J25">
        <f>IFERROR(IF(D25=0,0,(F25-G25-H25)/D25),"")</f>
        <v/>
      </c>
      <c r="K25">
        <f>IFERROR(IF(F25=0,0,G25/F25),"")</f>
        <v/>
      </c>
      <c r="L25">
        <f>IFERROR(IF(D25&lt;=2,"Short (1-2)",IF(D25&lt;=4,"Mid (3-4)","Long (5+)")),"")</f>
        <v/>
      </c>
      <c r="M25">
        <f>IFERROR(IF(J25&lt;100,"Low yield - raise minimum stay or rate floor",IF(J25&lt;160,"Acceptable - monitor","Strong yield - replicate this booking type")),"")</f>
        <v/>
      </c>
    </row>
    <row r="26">
      <c r="I26">
        <f>IFERROR(F26-G26-H26,"")</f>
        <v/>
      </c>
      <c r="J26">
        <f>IFERROR(IF(D26=0,0,(F26-G26-H26)/D26),"")</f>
        <v/>
      </c>
      <c r="K26">
        <f>IFERROR(IF(F26=0,0,G26/F26),"")</f>
        <v/>
      </c>
      <c r="L26">
        <f>IFERROR(IF(D26&lt;=2,"Short (1-2)",IF(D26&lt;=4,"Mid (3-4)","Long (5+)")),"")</f>
        <v/>
      </c>
      <c r="M26">
        <f>IFERROR(IF(J26&lt;100,"Low yield - raise minimum stay or rate floor",IF(J26&lt;160,"Acceptable - monitor","Strong yield - replicate this booking type")),"")</f>
        <v/>
      </c>
    </row>
  </sheetData>
  <mergeCells count="1">
    <mergeCell ref="A1:M3"/>
  </mergeCells>
  <conditionalFormatting sqref="J6:J26">
    <cfRule type="cellIs" priority="1" operator="lessThan" dxfId="0">
      <formula>100</formula>
    </cfRule>
    <cfRule type="cellIs" priority="2" operator="greaterThan" dxfId="1">
      <formula>160</formula>
    </cfRule>
  </conditionalFormatting>
  <conditionalFormatting sqref="K6:K26">
    <cfRule type="cellIs" priority="3" operator="greaterThan" dxfId="2">
      <formula>0.15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7" customWidth="1" min="4" max="4"/>
    <col width="19" customWidth="1" min="5" max="5"/>
    <col width="21" customWidth="1" min="6" max="6"/>
    <col width="19" customWidth="1" min="7" max="7"/>
    <col width="18" customWidth="1" min="8" max="8"/>
  </cols>
  <sheetData>
    <row r="1">
      <c r="A1" s="1" t="inlineStr">
        <is>
          <t>AI INSIGHT SUMMARY:
Your 2-night bookings generate $172 net after fees and cleaning vs. $338 for 4+ night stays — short stays are eroding your margin despite high occupancy. Setting a 3-night minimum in July would block an estimated 6 low-yield bookings and increase net revenue by approximately $840. Airbnb is costing you 3.1% more in effective fees than VRBO on comparable stays; shifting marginal bookings to direct could recover $1,240 annually. Your August personal-use block has an opportunity cost of $2,150 in foregone net revenue — consider shifting personal stays to the shoulder season. Net revenue per available night (RevPAN), not occupancy, is the metric that should drive your calendar decisions.</t>
        </is>
      </c>
    </row>
    <row r="2"/>
    <row r="3"/>
    <row r="4"/>
    <row r="5">
      <c r="A5" s="2" t="inlineStr">
        <is>
          <t>Platform</t>
        </is>
      </c>
      <c r="B5" s="2" t="inlineStr">
        <is>
          <t>Total Bookings</t>
        </is>
      </c>
      <c r="C5" s="2" t="inlineStr">
        <is>
          <t>Total Gross Revenue</t>
        </is>
      </c>
      <c r="D5" s="2" t="inlineStr">
        <is>
          <t>Total Fees Paid</t>
        </is>
      </c>
      <c r="E5" s="2" t="inlineStr">
        <is>
          <t>Total Net Revenue</t>
        </is>
      </c>
      <c r="F5" s="2" t="inlineStr">
        <is>
          <t>Avg Effective Fee %</t>
        </is>
      </c>
      <c r="G5" s="2" t="inlineStr">
        <is>
          <t>Avg Net Per Night</t>
        </is>
      </c>
      <c r="H5" s="2" t="inlineStr">
        <is>
          <t>Platform Verdict</t>
        </is>
      </c>
    </row>
    <row r="6">
      <c r="A6" t="inlineStr">
        <is>
          <t>Airbnb</t>
        </is>
      </c>
      <c r="B6" t="n">
        <v>18</v>
      </c>
      <c r="C6" t="n">
        <v>8400</v>
      </c>
      <c r="D6" t="n">
        <v>1260</v>
      </c>
      <c r="E6" t="n">
        <v>7140</v>
      </c>
      <c r="F6">
        <f>IFERROR(IF(C6=0,0,D6/C6),"")</f>
        <v/>
      </c>
      <c r="G6">
        <f>IFERROR(IF(B6=0,0,E6/B6),"")</f>
        <v/>
      </c>
      <c r="H6">
        <f>IFERROR(IF(F6&gt;0.13,"High fee drag - push marginal bookings to lower-fee channel",IF(F6&gt;0.05,"Moderate fees - acceptable","Low fee channel - prioritize direct/VRBO bookings")),"")</f>
        <v/>
      </c>
    </row>
    <row r="7">
      <c r="A7" t="inlineStr">
        <is>
          <t>VRBO</t>
        </is>
      </c>
      <c r="B7" t="n">
        <v>11</v>
      </c>
      <c r="C7" t="n">
        <v>5200</v>
      </c>
      <c r="D7" t="n">
        <v>416</v>
      </c>
      <c r="E7" t="n">
        <v>4784</v>
      </c>
      <c r="F7">
        <f>IFERROR(IF(C7=0,0,D7/C7),"")</f>
        <v/>
      </c>
      <c r="G7">
        <f>IFERROR(IF(B7=0,0,E7/B7),"")</f>
        <v/>
      </c>
      <c r="H7">
        <f>IFERROR(IF(F7&gt;0.13,"High fee drag - push marginal bookings to lower-fee channel",IF(F7&gt;0.05,"Moderate fees - acceptable","Low fee channel - prioritize direct/VRBO bookings")),"")</f>
        <v/>
      </c>
    </row>
    <row r="8">
      <c r="A8" t="inlineStr">
        <is>
          <t>Direct</t>
        </is>
      </c>
      <c r="B8" t="n">
        <v>6</v>
      </c>
      <c r="C8" t="n">
        <v>4100</v>
      </c>
      <c r="D8" t="n">
        <v>0</v>
      </c>
      <c r="E8" t="n">
        <v>4100</v>
      </c>
      <c r="F8">
        <f>IFERROR(IF(C8=0,0,D8/C8),"")</f>
        <v/>
      </c>
      <c r="G8">
        <f>IFERROR(IF(B8=0,0,E8/B8),"")</f>
        <v/>
      </c>
      <c r="H8">
        <f>IFERROR(IF(F8&gt;0.13,"High fee drag - push marginal bookings to lower-fee channel",IF(F8&gt;0.05,"Moderate fees - acceptable","Low fee channel - prioritize direct/VRBO bookings")),"")</f>
        <v/>
      </c>
    </row>
    <row r="9">
      <c r="F9">
        <f>IFERROR(IF(C9=0,0,D9/C9),"")</f>
        <v/>
      </c>
      <c r="G9">
        <f>IFERROR(IF(B9=0,0,E9/B9),"")</f>
        <v/>
      </c>
      <c r="H9">
        <f>IFERROR(IF(F9&gt;0.13,"High fee drag - push marginal bookings to lower-fee channel",IF(F9&gt;0.05,"Moderate fees - acceptable","Low fee channel - prioritize direct/VRBO bookings")),"")</f>
        <v/>
      </c>
    </row>
    <row r="10">
      <c r="F10">
        <f>IFERROR(IF(C10=0,0,D10/C10),"")</f>
        <v/>
      </c>
      <c r="G10">
        <f>IFERROR(IF(B10=0,0,E10/B10),"")</f>
        <v/>
      </c>
      <c r="H10">
        <f>IFERROR(IF(F10&gt;0.13,"High fee drag - push marginal bookings to lower-fee channel",IF(F10&gt;0.05,"Moderate fees - acceptable","Low fee channel - prioritize direct/VRBO bookings")),"")</f>
        <v/>
      </c>
    </row>
    <row r="11">
      <c r="F11">
        <f>IFERROR(IF(C11=0,0,D11/C11),"")</f>
        <v/>
      </c>
      <c r="G11">
        <f>IFERROR(IF(B11=0,0,E11/B11),"")</f>
        <v/>
      </c>
      <c r="H11">
        <f>IFERROR(IF(F11&gt;0.13,"High fee drag - push marginal bookings to lower-fee channel",IF(F11&gt;0.05,"Moderate fees - acceptable","Low fee channel - prioritize direct/VRBO bookings")),"")</f>
        <v/>
      </c>
    </row>
    <row r="12">
      <c r="F12">
        <f>IFERROR(IF(C12=0,0,D12/C12),"")</f>
        <v/>
      </c>
      <c r="G12">
        <f>IFERROR(IF(B12=0,0,E12/B12),"")</f>
        <v/>
      </c>
      <c r="H12">
        <f>IFERROR(IF(F12&gt;0.13,"High fee drag - push marginal bookings to lower-fee channel",IF(F12&gt;0.05,"Moderate fees - acceptable","Low fee channel - prioritize direct/VRBO bookings")),"")</f>
        <v/>
      </c>
    </row>
    <row r="13">
      <c r="F13">
        <f>IFERROR(IF(C13=0,0,D13/C13),"")</f>
        <v/>
      </c>
      <c r="G13">
        <f>IFERROR(IF(B13=0,0,E13/B13),"")</f>
        <v/>
      </c>
      <c r="H13">
        <f>IFERROR(IF(F13&gt;0.13,"High fee drag - push marginal bookings to lower-fee channel",IF(F13&gt;0.05,"Moderate fees - acceptable","Low fee channel - prioritize direct/VRBO bookings")),"")</f>
        <v/>
      </c>
    </row>
    <row r="14">
      <c r="F14">
        <f>IFERROR(IF(C14=0,0,D14/C14),"")</f>
        <v/>
      </c>
      <c r="G14">
        <f>IFERROR(IF(B14=0,0,E14/B14),"")</f>
        <v/>
      </c>
      <c r="H14">
        <f>IFERROR(IF(F14&gt;0.13,"High fee drag - push marginal bookings to lower-fee channel",IF(F14&gt;0.05,"Moderate fees - acceptable","Low fee channel - prioritize direct/VRBO bookings")),"")</f>
        <v/>
      </c>
    </row>
    <row r="15">
      <c r="F15">
        <f>IFERROR(IF(C15=0,0,D15/C15),"")</f>
        <v/>
      </c>
      <c r="G15">
        <f>IFERROR(IF(B15=0,0,E15/B15),"")</f>
        <v/>
      </c>
      <c r="H15">
        <f>IFERROR(IF(F15&gt;0.13,"High fee drag - push marginal bookings to lower-fee channel",IF(F15&gt;0.05,"Moderate fees - acceptable","Low fee channel - prioritize direct/VRBO bookings")),"")</f>
        <v/>
      </c>
    </row>
    <row r="16">
      <c r="F16">
        <f>IFERROR(IF(C16=0,0,D16/C16),"")</f>
        <v/>
      </c>
      <c r="G16">
        <f>IFERROR(IF(B16=0,0,E16/B16),"")</f>
        <v/>
      </c>
      <c r="H16">
        <f>IFERROR(IF(F16&gt;0.13,"High fee drag - push marginal bookings to lower-fee channel",IF(F16&gt;0.05,"Moderate fees - acceptable","Low fee channel - prioritize direct/VRBO bookings")),"")</f>
        <v/>
      </c>
    </row>
    <row r="17">
      <c r="F17">
        <f>IFERROR(IF(C17=0,0,D17/C17),"")</f>
        <v/>
      </c>
      <c r="G17">
        <f>IFERROR(IF(B17=0,0,E17/B17),"")</f>
        <v/>
      </c>
      <c r="H17">
        <f>IFERROR(IF(F17&gt;0.13,"High fee drag - push marginal bookings to lower-fee channel",IF(F17&gt;0.05,"Moderate fees - acceptable","Low fee channel - prioritize direct/VRBO bookings")),"")</f>
        <v/>
      </c>
    </row>
    <row r="18">
      <c r="F18">
        <f>IFERROR(IF(C18=0,0,D18/C18),"")</f>
        <v/>
      </c>
      <c r="G18">
        <f>IFERROR(IF(B18=0,0,E18/B18),"")</f>
        <v/>
      </c>
      <c r="H18">
        <f>IFERROR(IF(F18&gt;0.13,"High fee drag - push marginal bookings to lower-fee channel",IF(F18&gt;0.05,"Moderate fees - acceptable","Low fee channel - prioritize direct/VRBO bookings")),"")</f>
        <v/>
      </c>
    </row>
    <row r="19">
      <c r="F19">
        <f>IFERROR(IF(C19=0,0,D19/C19),"")</f>
        <v/>
      </c>
      <c r="G19">
        <f>IFERROR(IF(B19=0,0,E19/B19),"")</f>
        <v/>
      </c>
      <c r="H19">
        <f>IFERROR(IF(F19&gt;0.13,"High fee drag - push marginal bookings to lower-fee channel",IF(F19&gt;0.05,"Moderate fees - acceptable","Low fee channel - prioritize direct/VRBO bookings")),"")</f>
        <v/>
      </c>
    </row>
    <row r="20">
      <c r="F20">
        <f>IFERROR(IF(C20=0,0,D20/C20),"")</f>
        <v/>
      </c>
      <c r="G20">
        <f>IFERROR(IF(B20=0,0,E20/B20),"")</f>
        <v/>
      </c>
      <c r="H20">
        <f>IFERROR(IF(F20&gt;0.13,"High fee drag - push marginal bookings to lower-fee channel",IF(F20&gt;0.05,"Moderate fees - acceptable","Low fee channel - prioritize direct/VRBO bookings")),"")</f>
        <v/>
      </c>
    </row>
    <row r="21">
      <c r="F21">
        <f>IFERROR(IF(C21=0,0,D21/C21),"")</f>
        <v/>
      </c>
      <c r="G21">
        <f>IFERROR(IF(B21=0,0,E21/B21),"")</f>
        <v/>
      </c>
      <c r="H21">
        <f>IFERROR(IF(F21&gt;0.13,"High fee drag - push marginal bookings to lower-fee channel",IF(F21&gt;0.05,"Moderate fees - acceptable","Low fee channel - prioritize direct/VRBO bookings")),"")</f>
        <v/>
      </c>
    </row>
    <row r="22">
      <c r="F22">
        <f>IFERROR(IF(C22=0,0,D22/C22),"")</f>
        <v/>
      </c>
      <c r="G22">
        <f>IFERROR(IF(B22=0,0,E22/B22),"")</f>
        <v/>
      </c>
      <c r="H22">
        <f>IFERROR(IF(F22&gt;0.13,"High fee drag - push marginal bookings to lower-fee channel",IF(F22&gt;0.05,"Moderate fees - acceptable","Low fee channel - prioritize direct/VRBO bookings")),"")</f>
        <v/>
      </c>
    </row>
    <row r="23">
      <c r="F23">
        <f>IFERROR(IF(C23=0,0,D23/C23),"")</f>
        <v/>
      </c>
      <c r="G23">
        <f>IFERROR(IF(B23=0,0,E23/B23),"")</f>
        <v/>
      </c>
      <c r="H23">
        <f>IFERROR(IF(F23&gt;0.13,"High fee drag - push marginal bookings to lower-fee channel",IF(F23&gt;0.05,"Moderate fees - acceptable","Low fee channel - prioritize direct/VRBO bookings")),"")</f>
        <v/>
      </c>
    </row>
  </sheetData>
  <mergeCells count="1">
    <mergeCell ref="A1:H3"/>
  </mergeCells>
  <conditionalFormatting sqref="F6:F23">
    <cfRule type="cellIs" priority="1" operator="greaterThan" dxfId="0">
      <formula>0.13</formula>
    </cfRule>
    <cfRule type="cellIs" priority="2" operator="lessThan" dxfId="1">
      <formula>0.05</formula>
    </cfRule>
  </conditionalFormatting>
  <conditionalFormatting sqref="G6:G23">
    <cfRule type="cellIs" priority="3" operator="lessThan" dxfId="2">
      <formula>120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AI INSIGHT SUMMARY:
Your 2-night bookings generate $172 net after fees and cleaning vs. $338 for 4+ night stays — short stays are eroding your margin despite high occupancy. Setting a 3-night minimum in July would block an estimated 6 low-yield bookings and increase net revenue by approximately $840. Airbnb is costing you 3.1% more in effective fees than VRBO on comparable stays; shifting marginal bookings to direct could recover $1,240 annually. Your August personal-use block has an opportunity cost of $2,150 in foregone net revenue — consider shifting personal stays to the shoulder season. Net revenue per available night (RevPAN), not occupancy, is the metric that should drive your calendar decisions.</t>
        </is>
      </c>
    </row>
    <row r="2"/>
    <row r="3"/>
    <row r="4"/>
    <row r="5">
      <c r="A5" s="2" t="inlineStr">
        <is>
          <t>Month</t>
        </is>
      </c>
      <c r="B5" s="2" t="inlineStr">
        <is>
          <t>Available Nights</t>
        </is>
      </c>
      <c r="C5" s="2" t="inlineStr">
        <is>
          <t>Nights Booked</t>
        </is>
      </c>
      <c r="D5" s="2" t="inlineStr">
        <is>
          <t>Occupancy %</t>
        </is>
      </c>
      <c r="E5" s="2" t="inlineStr">
        <is>
          <t>Net Revenue</t>
        </is>
      </c>
      <c r="F5" s="2" t="inlineStr">
        <is>
          <t>RevPAN</t>
        </is>
      </c>
      <c r="G5" s="2" t="inlineStr">
        <is>
          <t>Avg Daily Rate</t>
        </is>
      </c>
      <c r="H5" s="2" t="inlineStr">
        <is>
          <t>Yield Health</t>
        </is>
      </c>
      <c r="I5" s="2" t="inlineStr">
        <is>
          <t>Pricing Action</t>
        </is>
      </c>
    </row>
    <row r="6">
      <c r="A6" t="inlineStr">
        <is>
          <t>January</t>
        </is>
      </c>
      <c r="B6" t="n">
        <v>31</v>
      </c>
      <c r="C6" t="n">
        <v>14</v>
      </c>
      <c r="D6">
        <f>IFERROR(IF(B6=0,0,C6/B6),"")</f>
        <v/>
      </c>
      <c r="E6" t="n">
        <v>1820</v>
      </c>
      <c r="F6">
        <f>IFERROR(IF(B6=0,0,E6/B6),"")</f>
        <v/>
      </c>
      <c r="G6">
        <f>IFERROR(IF(C6=0,0,E6/C6),"")</f>
        <v/>
      </c>
      <c r="H6">
        <f>IFERROR(IF(F6&lt;90,"Underperforming - net per available night too low",IF(F6&lt;140,"Healthy","Peak yield - hold rate firm")),"")</f>
        <v/>
      </c>
      <c r="I6">
        <f>IFERROR(IF(AND(D6&gt;0.85,F6&lt;120),"High occupancy but low yield - raise minimum stay and rate floor",IF(D6&lt;0.5,"Low occupancy - lower rate or open shorter stays","Hold current strategy")),"")</f>
        <v/>
      </c>
    </row>
    <row r="7">
      <c r="A7" t="inlineStr">
        <is>
          <t>April</t>
        </is>
      </c>
      <c r="B7" t="n">
        <v>30</v>
      </c>
      <c r="C7" t="n">
        <v>22</v>
      </c>
      <c r="D7">
        <f>IFERROR(IF(B7=0,0,C7/B7),"")</f>
        <v/>
      </c>
      <c r="E7" t="n">
        <v>3300</v>
      </c>
      <c r="F7">
        <f>IFERROR(IF(B7=0,0,E7/B7),"")</f>
        <v/>
      </c>
      <c r="G7">
        <f>IFERROR(IF(C7=0,0,E7/C7),"")</f>
        <v/>
      </c>
      <c r="H7">
        <f>IFERROR(IF(F7&lt;90,"Underperforming - net per available night too low",IF(F7&lt;140,"Healthy","Peak yield - hold rate firm")),"")</f>
        <v/>
      </c>
      <c r="I7">
        <f>IFERROR(IF(AND(D7&gt;0.85,F7&lt;120),"High occupancy but low yield - raise minimum stay and rate floor",IF(D7&lt;0.5,"Low occupancy - lower rate or open shorter stays","Hold current strategy")),"")</f>
        <v/>
      </c>
    </row>
    <row r="8">
      <c r="A8" t="inlineStr">
        <is>
          <t>July</t>
        </is>
      </c>
      <c r="B8" t="n">
        <v>31</v>
      </c>
      <c r="C8" t="n">
        <v>29</v>
      </c>
      <c r="D8">
        <f>IFERROR(IF(B8=0,0,C8/B8),"")</f>
        <v/>
      </c>
      <c r="E8" t="n">
        <v>3480</v>
      </c>
      <c r="F8">
        <f>IFERROR(IF(B8=0,0,E8/B8),"")</f>
        <v/>
      </c>
      <c r="G8">
        <f>IFERROR(IF(C8=0,0,E8/C8),"")</f>
        <v/>
      </c>
      <c r="H8">
        <f>IFERROR(IF(F8&lt;90,"Underperforming - net per available night too low",IF(F8&lt;140,"Healthy","Peak yield - hold rate firm")),"")</f>
        <v/>
      </c>
      <c r="I8">
        <f>IFERROR(IF(AND(D8&gt;0.85,F8&lt;120),"High occupancy but low yield - raise minimum stay and rate floor",IF(D8&lt;0.5,"Low occupancy - lower rate or open shorter stays","Hold current strategy")),"")</f>
        <v/>
      </c>
    </row>
    <row r="9">
      <c r="A9" t="inlineStr">
        <is>
          <t>August</t>
        </is>
      </c>
      <c r="B9" t="n">
        <v>31</v>
      </c>
      <c r="C9" t="n">
        <v>18</v>
      </c>
      <c r="D9">
        <f>IFERROR(IF(B9=0,0,C9/B9),"")</f>
        <v/>
      </c>
      <c r="E9" t="n">
        <v>4200</v>
      </c>
      <c r="F9">
        <f>IFERROR(IF(B9=0,0,E9/B9),"")</f>
        <v/>
      </c>
      <c r="G9">
        <f>IFERROR(IF(C9=0,0,E9/C9),"")</f>
        <v/>
      </c>
      <c r="H9">
        <f>IFERROR(IF(F9&lt;90,"Underperforming - net per available night too low",IF(F9&lt;140,"Healthy","Peak yield - hold rate firm")),"")</f>
        <v/>
      </c>
      <c r="I9">
        <f>IFERROR(IF(AND(D9&gt;0.85,F9&lt;120),"High occupancy but low yield - raise minimum stay and rate floor",IF(D9&lt;0.5,"Low occupancy - lower rate or open shorter stays","Hold current strategy")),"")</f>
        <v/>
      </c>
    </row>
    <row r="10">
      <c r="A10" t="inlineStr">
        <is>
          <t>October</t>
        </is>
      </c>
      <c r="B10" t="n">
        <v>31</v>
      </c>
      <c r="C10" t="n">
        <v>12</v>
      </c>
      <c r="D10">
        <f>IFERROR(IF(B10=0,0,C10/B10),"")</f>
        <v/>
      </c>
      <c r="E10" t="n">
        <v>1560</v>
      </c>
      <c r="F10">
        <f>IFERROR(IF(B10=0,0,E10/B10),"")</f>
        <v/>
      </c>
      <c r="G10">
        <f>IFERROR(IF(C10=0,0,E10/C10),"")</f>
        <v/>
      </c>
      <c r="H10">
        <f>IFERROR(IF(F10&lt;90,"Underperforming - net per available night too low",IF(F10&lt;140,"Healthy","Peak yield - hold rate firm")),"")</f>
        <v/>
      </c>
      <c r="I10">
        <f>IFERROR(IF(AND(D10&gt;0.85,F10&lt;120),"High occupancy but low yield - raise minimum stay and rate floor",IF(D10&lt;0.5,"Low occupancy - lower rate or open shorter stays","Hold current strategy")),"")</f>
        <v/>
      </c>
    </row>
    <row r="11">
      <c r="A11" t="inlineStr">
        <is>
          <t>December</t>
        </is>
      </c>
      <c r="B11" t="n">
        <v>31</v>
      </c>
      <c r="C11" t="n">
        <v>26</v>
      </c>
      <c r="D11">
        <f>IFERROR(IF(B11=0,0,C11/B11),"")</f>
        <v/>
      </c>
      <c r="E11" t="n">
        <v>4550</v>
      </c>
      <c r="F11">
        <f>IFERROR(IF(B11=0,0,E11/B11),"")</f>
        <v/>
      </c>
      <c r="G11">
        <f>IFERROR(IF(C11=0,0,E11/C11),"")</f>
        <v/>
      </c>
      <c r="H11">
        <f>IFERROR(IF(F11&lt;90,"Underperforming - net per available night too low",IF(F11&lt;140,"Healthy","Peak yield - hold rate firm")),"")</f>
        <v/>
      </c>
      <c r="I11">
        <f>IFERROR(IF(AND(D11&gt;0.85,F11&lt;120),"High occupancy but low yield - raise minimum stay and rate floor",IF(D11&lt;0.5,"Low occupancy - lower rate or open shorter stays","Hold current strategy")),"")</f>
        <v/>
      </c>
    </row>
    <row r="12">
      <c r="D12">
        <f>IFERROR(IF(B12=0,0,C12/B12),"")</f>
        <v/>
      </c>
      <c r="F12">
        <f>IFERROR(IF(B12=0,0,E12/B12),"")</f>
        <v/>
      </c>
      <c r="G12">
        <f>IFERROR(IF(C12=0,0,E12/C12),"")</f>
        <v/>
      </c>
      <c r="H12">
        <f>IFERROR(IF(F12&lt;90,"Underperforming - net per available night too low",IF(F12&lt;140,"Healthy","Peak yield - hold rate firm")),"")</f>
        <v/>
      </c>
      <c r="I12">
        <f>IFERROR(IF(AND(D12&gt;0.85,F12&lt;120),"High occupancy but low yield - raise minimum stay and rate floor",IF(D12&lt;0.5,"Low occupancy - lower rate or open shorter stays","Hold current strategy")),"")</f>
        <v/>
      </c>
    </row>
    <row r="13">
      <c r="D13">
        <f>IFERROR(IF(B13=0,0,C13/B13),"")</f>
        <v/>
      </c>
      <c r="F13">
        <f>IFERROR(IF(B13=0,0,E13/B13),"")</f>
        <v/>
      </c>
      <c r="G13">
        <f>IFERROR(IF(C13=0,0,E13/C13),"")</f>
        <v/>
      </c>
      <c r="H13">
        <f>IFERROR(IF(F13&lt;90,"Underperforming - net per available night too low",IF(F13&lt;140,"Healthy","Peak yield - hold rate firm")),"")</f>
        <v/>
      </c>
      <c r="I13">
        <f>IFERROR(IF(AND(D13&gt;0.85,F13&lt;120),"High occupancy but low yield - raise minimum stay and rate floor",IF(D13&lt;0.5,"Low occupancy - lower rate or open shorter stays","Hold current strategy")),"")</f>
        <v/>
      </c>
    </row>
    <row r="14">
      <c r="D14">
        <f>IFERROR(IF(B14=0,0,C14/B14),"")</f>
        <v/>
      </c>
      <c r="F14">
        <f>IFERROR(IF(B14=0,0,E14/B14),"")</f>
        <v/>
      </c>
      <c r="G14">
        <f>IFERROR(IF(C14=0,0,E14/C14),"")</f>
        <v/>
      </c>
      <c r="H14">
        <f>IFERROR(IF(F14&lt;90,"Underperforming - net per available night too low",IF(F14&lt;140,"Healthy","Peak yield - hold rate firm")),"")</f>
        <v/>
      </c>
      <c r="I14">
        <f>IFERROR(IF(AND(D14&gt;0.85,F14&lt;120),"High occupancy but low yield - raise minimum stay and rate floor",IF(D14&lt;0.5,"Low occupancy - lower rate or open shorter stays","Hold current strategy")),"")</f>
        <v/>
      </c>
    </row>
    <row r="15">
      <c r="D15">
        <f>IFERROR(IF(B15=0,0,C15/B15),"")</f>
        <v/>
      </c>
      <c r="F15">
        <f>IFERROR(IF(B15=0,0,E15/B15),"")</f>
        <v/>
      </c>
      <c r="G15">
        <f>IFERROR(IF(C15=0,0,E15/C15),"")</f>
        <v/>
      </c>
      <c r="H15">
        <f>IFERROR(IF(F15&lt;90,"Underperforming - net per available night too low",IF(F15&lt;140,"Healthy","Peak yield - hold rate firm")),"")</f>
        <v/>
      </c>
      <c r="I15">
        <f>IFERROR(IF(AND(D15&gt;0.85,F15&lt;120),"High occupancy but low yield - raise minimum stay and rate floor",IF(D15&lt;0.5,"Low occupancy - lower rate or open shorter stays","Hold current strategy")),"")</f>
        <v/>
      </c>
    </row>
    <row r="16">
      <c r="D16">
        <f>IFERROR(IF(B16=0,0,C16/B16),"")</f>
        <v/>
      </c>
      <c r="F16">
        <f>IFERROR(IF(B16=0,0,E16/B16),"")</f>
        <v/>
      </c>
      <c r="G16">
        <f>IFERROR(IF(C16=0,0,E16/C16),"")</f>
        <v/>
      </c>
      <c r="H16">
        <f>IFERROR(IF(F16&lt;90,"Underperforming - net per available night too low",IF(F16&lt;140,"Healthy","Peak yield - hold rate firm")),"")</f>
        <v/>
      </c>
      <c r="I16">
        <f>IFERROR(IF(AND(D16&gt;0.85,F16&lt;120),"High occupancy but low yield - raise minimum stay and rate floor",IF(D16&lt;0.5,"Low occupancy - lower rate or open shorter stays","Hold current strategy")),"")</f>
        <v/>
      </c>
    </row>
    <row r="17">
      <c r="D17">
        <f>IFERROR(IF(B17=0,0,C17/B17),"")</f>
        <v/>
      </c>
      <c r="F17">
        <f>IFERROR(IF(B17=0,0,E17/B17),"")</f>
        <v/>
      </c>
      <c r="G17">
        <f>IFERROR(IF(C17=0,0,E17/C17),"")</f>
        <v/>
      </c>
      <c r="H17">
        <f>IFERROR(IF(F17&lt;90,"Underperforming - net per available night too low",IF(F17&lt;140,"Healthy","Peak yield - hold rate firm")),"")</f>
        <v/>
      </c>
      <c r="I17">
        <f>IFERROR(IF(AND(D17&gt;0.85,F17&lt;120),"High occupancy but low yield - raise minimum stay and rate floor",IF(D17&lt;0.5,"Low occupancy - lower rate or open shorter stays","Hold current strategy")),"")</f>
        <v/>
      </c>
    </row>
    <row r="18">
      <c r="D18">
        <f>IFERROR(IF(B18=0,0,C18/B18),"")</f>
        <v/>
      </c>
      <c r="F18">
        <f>IFERROR(IF(B18=0,0,E18/B18),"")</f>
        <v/>
      </c>
      <c r="G18">
        <f>IFERROR(IF(C18=0,0,E18/C18),"")</f>
        <v/>
      </c>
      <c r="H18">
        <f>IFERROR(IF(F18&lt;90,"Underperforming - net per available night too low",IF(F18&lt;140,"Healthy","Peak yield - hold rate firm")),"")</f>
        <v/>
      </c>
      <c r="I18">
        <f>IFERROR(IF(AND(D18&gt;0.85,F18&lt;120),"High occupancy but low yield - raise minimum stay and rate floor",IF(D18&lt;0.5,"Low occupancy - lower rate or open shorter stays","Hold current strategy")),"")</f>
        <v/>
      </c>
    </row>
    <row r="19">
      <c r="D19">
        <f>IFERROR(IF(B19=0,0,C19/B19),"")</f>
        <v/>
      </c>
      <c r="F19">
        <f>IFERROR(IF(B19=0,0,E19/B19),"")</f>
        <v/>
      </c>
      <c r="G19">
        <f>IFERROR(IF(C19=0,0,E19/C19),"")</f>
        <v/>
      </c>
      <c r="H19">
        <f>IFERROR(IF(F19&lt;90,"Underperforming - net per available night too low",IF(F19&lt;140,"Healthy","Peak yield - hold rate firm")),"")</f>
        <v/>
      </c>
      <c r="I19">
        <f>IFERROR(IF(AND(D19&gt;0.85,F19&lt;120),"High occupancy but low yield - raise minimum stay and rate floor",IF(D19&lt;0.5,"Low occupancy - lower rate or open shorter stays","Hold current strategy")),"")</f>
        <v/>
      </c>
    </row>
    <row r="20">
      <c r="D20">
        <f>IFERROR(IF(B20=0,0,C20/B20),"")</f>
        <v/>
      </c>
      <c r="F20">
        <f>IFERROR(IF(B20=0,0,E20/B20),"")</f>
        <v/>
      </c>
      <c r="G20">
        <f>IFERROR(IF(C20=0,0,E20/C20),"")</f>
        <v/>
      </c>
      <c r="H20">
        <f>IFERROR(IF(F20&lt;90,"Underperforming - net per available night too low",IF(F20&lt;140,"Healthy","Peak yield - hold rate firm")),"")</f>
        <v/>
      </c>
      <c r="I20">
        <f>IFERROR(IF(AND(D20&gt;0.85,F20&lt;120),"High occupancy but low yield - raise minimum stay and rate floor",IF(D20&lt;0.5,"Low occupancy - lower rate or open shorter stays","Hold current strategy")),"")</f>
        <v/>
      </c>
    </row>
    <row r="21">
      <c r="D21">
        <f>IFERROR(IF(B21=0,0,C21/B21),"")</f>
        <v/>
      </c>
      <c r="F21">
        <f>IFERROR(IF(B21=0,0,E21/B21),"")</f>
        <v/>
      </c>
      <c r="G21">
        <f>IFERROR(IF(C21=0,0,E21/C21),"")</f>
        <v/>
      </c>
      <c r="H21">
        <f>IFERROR(IF(F21&lt;90,"Underperforming - net per available night too low",IF(F21&lt;140,"Healthy","Peak yield - hold rate firm")),"")</f>
        <v/>
      </c>
      <c r="I21">
        <f>IFERROR(IF(AND(D21&gt;0.85,F21&lt;120),"High occupancy but low yield - raise minimum stay and rate floor",IF(D21&lt;0.5,"Low occupancy - lower rate or open shorter stays","Hold current strategy")),"")</f>
        <v/>
      </c>
    </row>
    <row r="22">
      <c r="D22">
        <f>IFERROR(IF(B22=0,0,C22/B22),"")</f>
        <v/>
      </c>
      <c r="F22">
        <f>IFERROR(IF(B22=0,0,E22/B22),"")</f>
        <v/>
      </c>
      <c r="G22">
        <f>IFERROR(IF(C22=0,0,E22/C22),"")</f>
        <v/>
      </c>
      <c r="H22">
        <f>IFERROR(IF(F22&lt;90,"Underperforming - net per available night too low",IF(F22&lt;140,"Healthy","Peak yield - hold rate firm")),"")</f>
        <v/>
      </c>
      <c r="I22">
        <f>IFERROR(IF(AND(D22&gt;0.85,F22&lt;120),"High occupancy but low yield - raise minimum stay and rate floor",IF(D22&lt;0.5,"Low occupancy - lower rate or open shorter stays","Hold current strategy")),"")</f>
        <v/>
      </c>
    </row>
    <row r="23">
      <c r="D23">
        <f>IFERROR(IF(B23=0,0,C23/B23),"")</f>
        <v/>
      </c>
      <c r="F23">
        <f>IFERROR(IF(B23=0,0,E23/B23),"")</f>
        <v/>
      </c>
      <c r="G23">
        <f>IFERROR(IF(C23=0,0,E23/C23),"")</f>
        <v/>
      </c>
      <c r="H23">
        <f>IFERROR(IF(F23&lt;90,"Underperforming - net per available night too low",IF(F23&lt;140,"Healthy","Peak yield - hold rate firm")),"")</f>
        <v/>
      </c>
      <c r="I23">
        <f>IFERROR(IF(AND(D23&gt;0.85,F23&lt;120),"High occupancy but low yield - raise minimum stay and rate floor",IF(D23&lt;0.5,"Low occupancy - lower rate or open shorter stays","Hold current strategy")),"")</f>
        <v/>
      </c>
    </row>
    <row r="24">
      <c r="D24">
        <f>IFERROR(IF(B24=0,0,C24/B24),"")</f>
        <v/>
      </c>
      <c r="F24">
        <f>IFERROR(IF(B24=0,0,E24/B24),"")</f>
        <v/>
      </c>
      <c r="G24">
        <f>IFERROR(IF(C24=0,0,E24/C24),"")</f>
        <v/>
      </c>
      <c r="H24">
        <f>IFERROR(IF(F24&lt;90,"Underperforming - net per available night too low",IF(F24&lt;140,"Healthy","Peak yield - hold rate firm")),"")</f>
        <v/>
      </c>
      <c r="I24">
        <f>IFERROR(IF(AND(D24&gt;0.85,F24&lt;120),"High occupancy but low yield - raise minimum stay and rate floor",IF(D24&lt;0.5,"Low occupancy - lower rate or open shorter stays","Hold current strategy")),"")</f>
        <v/>
      </c>
    </row>
    <row r="25">
      <c r="D25">
        <f>IFERROR(IF(B25=0,0,C25/B25),"")</f>
        <v/>
      </c>
      <c r="F25">
        <f>IFERROR(IF(B25=0,0,E25/B25),"")</f>
        <v/>
      </c>
      <c r="G25">
        <f>IFERROR(IF(C25=0,0,E25/C25),"")</f>
        <v/>
      </c>
      <c r="H25">
        <f>IFERROR(IF(F25&lt;90,"Underperforming - net per available night too low",IF(F25&lt;140,"Healthy","Peak yield - hold rate firm")),"")</f>
        <v/>
      </c>
      <c r="I25">
        <f>IFERROR(IF(AND(D25&gt;0.85,F25&lt;120),"High occupancy but low yield - raise minimum stay and rate floor",IF(D25&lt;0.5,"Low occupancy - lower rate or open shorter stays","Hold current strategy")),"")</f>
        <v/>
      </c>
    </row>
    <row r="26">
      <c r="D26">
        <f>IFERROR(IF(B26=0,0,C26/B26),"")</f>
        <v/>
      </c>
      <c r="F26">
        <f>IFERROR(IF(B26=0,0,E26/B26),"")</f>
        <v/>
      </c>
      <c r="G26">
        <f>IFERROR(IF(C26=0,0,E26/C26),"")</f>
        <v/>
      </c>
      <c r="H26">
        <f>IFERROR(IF(F26&lt;90,"Underperforming - net per available night too low",IF(F26&lt;140,"Healthy","Peak yield - hold rate firm")),"")</f>
        <v/>
      </c>
      <c r="I26">
        <f>IFERROR(IF(AND(D26&gt;0.85,F26&lt;120),"High occupancy but low yield - raise minimum stay and rate floor",IF(D26&lt;0.5,"Low occupancy - lower rate or open shorter stays","Hold current strategy")),"")</f>
        <v/>
      </c>
    </row>
  </sheetData>
  <mergeCells count="1">
    <mergeCell ref="A1:I3"/>
  </mergeCells>
  <conditionalFormatting sqref="F6:F26">
    <cfRule type="cellIs" priority="1" operator="lessThan" dxfId="0">
      <formula>90</formula>
    </cfRule>
    <cfRule type="cellIs" priority="2" operator="greaterThan" dxfId="1">
      <formula>140</formula>
    </cfRule>
  </conditionalFormatting>
  <conditionalFormatting sqref="D6:D26">
    <cfRule type="cellIs" priority="3" operator="greaterThan" dxfId="2">
      <formula>0.85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22" customWidth="1" min="4" max="4"/>
    <col width="24" customWidth="1" min="5" max="5"/>
    <col width="20" customWidth="1" min="6" max="6"/>
    <col width="16" customWidth="1" min="7" max="7"/>
  </cols>
  <sheetData>
    <row r="1">
      <c r="A1" s="1" t="inlineStr">
        <is>
          <t>AI INSIGHT SUMMARY:
Your 2-night bookings generate $172 net after fees and cleaning vs. $338 for 4+ night stays — short stays are eroding your margin despite high occupancy. Setting a 3-night minimum in July would block an estimated 6 low-yield bookings and increase net revenue by approximately $840. Airbnb is costing you 3.1% more in effective fees than VRBO on comparable stays; shifting marginal bookings to direct could recover $1,240 annually. Your August personal-use block has an opportunity cost of $2,150 in foregone net revenue — consider shifting personal stays to the shoulder season. Net revenue per available night (RevPAN), not occupancy, is the metric that should drive your calendar decisions.</t>
        </is>
      </c>
    </row>
    <row r="2"/>
    <row r="3"/>
    <row r="4"/>
    <row r="5">
      <c r="A5" s="2" t="inlineStr">
        <is>
          <t>Personal Block Month</t>
        </is>
      </c>
      <c r="B5" s="2" t="inlineStr">
        <is>
          <t>Nights Blocked</t>
        </is>
      </c>
      <c r="C5" s="2" t="inlineStr">
        <is>
          <t>Expected RevPAN This Month</t>
        </is>
      </c>
      <c r="D5" s="2" t="inlineStr">
        <is>
          <t>Foregone Net Revenue</t>
        </is>
      </c>
      <c r="E5" s="2" t="inlineStr">
        <is>
          <t>Shoulder Season RevPAN</t>
        </is>
      </c>
      <c r="F5" s="2" t="inlineStr">
        <is>
          <t>Savings If Shifted</t>
        </is>
      </c>
      <c r="G5" s="2" t="inlineStr">
        <is>
          <t>Block Verdict</t>
        </is>
      </c>
    </row>
    <row r="6">
      <c r="A6" t="inlineStr">
        <is>
          <t>August</t>
        </is>
      </c>
      <c r="B6" t="n">
        <v>7</v>
      </c>
      <c r="C6" t="n">
        <v>135.5</v>
      </c>
      <c r="D6">
        <f>IFERROR(B6*C6,"")</f>
        <v/>
      </c>
      <c r="E6" t="n">
        <v>50.3</v>
      </c>
      <c r="F6">
        <f>IFERROR(B6*(C6-E6),"")</f>
        <v/>
      </c>
      <c r="G6">
        <f>IFERROR(IF(F6&gt;500,"Shift personal stay to shoulder season - high opportunity cost",IF(F6&gt;150,"Consider shifting - moderate savings","Keep block - low opportunity cost")),"")</f>
        <v/>
      </c>
    </row>
    <row r="7">
      <c r="A7" t="inlineStr">
        <is>
          <t>July</t>
        </is>
      </c>
      <c r="B7" t="n">
        <v>5</v>
      </c>
      <c r="C7" t="n">
        <v>112.3</v>
      </c>
      <c r="D7">
        <f>IFERROR(B7*C7,"")</f>
        <v/>
      </c>
      <c r="E7" t="n">
        <v>50.3</v>
      </c>
      <c r="F7">
        <f>IFERROR(B7*(C7-E7),"")</f>
        <v/>
      </c>
      <c r="G7">
        <f>IFERROR(IF(F7&gt;500,"Shift personal stay to shoulder season - high opportunity cost",IF(F7&gt;150,"Consider shifting - moderate savings","Keep block - low opportunity cost")),"")</f>
        <v/>
      </c>
    </row>
    <row r="8">
      <c r="A8" t="inlineStr">
        <is>
          <t>October</t>
        </is>
      </c>
      <c r="B8" t="n">
        <v>6</v>
      </c>
      <c r="C8" t="n">
        <v>50.3</v>
      </c>
      <c r="D8">
        <f>IFERROR(B8*C8,"")</f>
        <v/>
      </c>
      <c r="E8" t="n">
        <v>50.3</v>
      </c>
      <c r="F8">
        <f>IFERROR(B8*(C8-E8),"")</f>
        <v/>
      </c>
      <c r="G8">
        <f>IFERROR(IF(F8&gt;500,"Shift personal stay to shoulder season - high opportunity cost",IF(F8&gt;150,"Consider shifting - moderate savings","Keep block - low opportunity cost")),"")</f>
        <v/>
      </c>
    </row>
    <row r="9">
      <c r="A9" t="inlineStr">
        <is>
          <t>December</t>
        </is>
      </c>
      <c r="B9" t="n">
        <v>4</v>
      </c>
      <c r="C9" t="n">
        <v>146.8</v>
      </c>
      <c r="D9">
        <f>IFERROR(B9*C9,"")</f>
        <v/>
      </c>
      <c r="E9" t="n">
        <v>58.7</v>
      </c>
      <c r="F9">
        <f>IFERROR(B9*(C9-E9),"")</f>
        <v/>
      </c>
      <c r="G9">
        <f>IFERROR(IF(F9&gt;500,"Shift personal stay to shoulder season - high opportunity cost",IF(F9&gt;150,"Consider shifting - moderate savings","Keep block - low opportunity cost")),"")</f>
        <v/>
      </c>
    </row>
    <row r="10">
      <c r="A10" t="inlineStr">
        <is>
          <t>January</t>
        </is>
      </c>
      <c r="B10" t="n">
        <v>5</v>
      </c>
      <c r="C10" t="n">
        <v>58.7</v>
      </c>
      <c r="D10">
        <f>IFERROR(B10*C10,"")</f>
        <v/>
      </c>
      <c r="E10" t="n">
        <v>50.3</v>
      </c>
      <c r="F10">
        <f>IFERROR(B10*(C10-E10),"")</f>
        <v/>
      </c>
      <c r="G10">
        <f>IFERROR(IF(F10&gt;500,"Shift personal stay to shoulder season - high opportunity cost",IF(F10&gt;150,"Consider shifting - moderate savings","Keep block - low opportunity cost")),"")</f>
        <v/>
      </c>
    </row>
    <row r="11">
      <c r="D11">
        <f>IFERROR(B11*C11,"")</f>
        <v/>
      </c>
      <c r="F11">
        <f>IFERROR(B11*(C11-E11),"")</f>
        <v/>
      </c>
      <c r="G11">
        <f>IFERROR(IF(F11&gt;500,"Shift personal stay to shoulder season - high opportunity cost",IF(F11&gt;150,"Consider shifting - moderate savings","Keep block - low opportunity cost")),"")</f>
        <v/>
      </c>
    </row>
    <row r="12">
      <c r="D12">
        <f>IFERROR(B12*C12,"")</f>
        <v/>
      </c>
      <c r="F12">
        <f>IFERROR(B12*(C12-E12),"")</f>
        <v/>
      </c>
      <c r="G12">
        <f>IFERROR(IF(F12&gt;500,"Shift personal stay to shoulder season - high opportunity cost",IF(F12&gt;150,"Consider shifting - moderate savings","Keep block - low opportunity cost")),"")</f>
        <v/>
      </c>
    </row>
    <row r="13">
      <c r="D13">
        <f>IFERROR(B13*C13,"")</f>
        <v/>
      </c>
      <c r="F13">
        <f>IFERROR(B13*(C13-E13),"")</f>
        <v/>
      </c>
      <c r="G13">
        <f>IFERROR(IF(F13&gt;500,"Shift personal stay to shoulder season - high opportunity cost",IF(F13&gt;150,"Consider shifting - moderate savings","Keep block - low opportunity cost")),"")</f>
        <v/>
      </c>
    </row>
    <row r="14">
      <c r="D14">
        <f>IFERROR(B14*C14,"")</f>
        <v/>
      </c>
      <c r="F14">
        <f>IFERROR(B14*(C14-E14),"")</f>
        <v/>
      </c>
      <c r="G14">
        <f>IFERROR(IF(F14&gt;500,"Shift personal stay to shoulder season - high opportunity cost",IF(F14&gt;150,"Consider shifting - moderate savings","Keep block - low opportunity cost")),"")</f>
        <v/>
      </c>
    </row>
    <row r="15">
      <c r="D15">
        <f>IFERROR(B15*C15,"")</f>
        <v/>
      </c>
      <c r="F15">
        <f>IFERROR(B15*(C15-E15),"")</f>
        <v/>
      </c>
      <c r="G15">
        <f>IFERROR(IF(F15&gt;500,"Shift personal stay to shoulder season - high opportunity cost",IF(F15&gt;150,"Consider shifting - moderate savings","Keep block - low opportunity cost")),"")</f>
        <v/>
      </c>
    </row>
    <row r="16">
      <c r="D16">
        <f>IFERROR(B16*C16,"")</f>
        <v/>
      </c>
      <c r="F16">
        <f>IFERROR(B16*(C16-E16),"")</f>
        <v/>
      </c>
      <c r="G16">
        <f>IFERROR(IF(F16&gt;500,"Shift personal stay to shoulder season - high opportunity cost",IF(F16&gt;150,"Consider shifting - moderate savings","Keep block - low opportunity cost")),"")</f>
        <v/>
      </c>
    </row>
    <row r="17">
      <c r="D17">
        <f>IFERROR(B17*C17,"")</f>
        <v/>
      </c>
      <c r="F17">
        <f>IFERROR(B17*(C17-E17),"")</f>
        <v/>
      </c>
      <c r="G17">
        <f>IFERROR(IF(F17&gt;500,"Shift personal stay to shoulder season - high opportunity cost",IF(F17&gt;150,"Consider shifting - moderate savings","Keep block - low opportunity cost")),"")</f>
        <v/>
      </c>
    </row>
    <row r="18">
      <c r="D18">
        <f>IFERROR(B18*C18,"")</f>
        <v/>
      </c>
      <c r="F18">
        <f>IFERROR(B18*(C18-E18),"")</f>
        <v/>
      </c>
      <c r="G18">
        <f>IFERROR(IF(F18&gt;500,"Shift personal stay to shoulder season - high opportunity cost",IF(F18&gt;150,"Consider shifting - moderate savings","Keep block - low opportunity cost")),"")</f>
        <v/>
      </c>
    </row>
    <row r="19">
      <c r="D19">
        <f>IFERROR(B19*C19,"")</f>
        <v/>
      </c>
      <c r="F19">
        <f>IFERROR(B19*(C19-E19),"")</f>
        <v/>
      </c>
      <c r="G19">
        <f>IFERROR(IF(F19&gt;500,"Shift personal stay to shoulder season - high opportunity cost",IF(F19&gt;150,"Consider shifting - moderate savings","Keep block - low opportunity cost")),"")</f>
        <v/>
      </c>
    </row>
    <row r="20">
      <c r="D20">
        <f>IFERROR(B20*C20,"")</f>
        <v/>
      </c>
      <c r="F20">
        <f>IFERROR(B20*(C20-E20),"")</f>
        <v/>
      </c>
      <c r="G20">
        <f>IFERROR(IF(F20&gt;500,"Shift personal stay to shoulder season - high opportunity cost",IF(F20&gt;150,"Consider shifting - moderate savings","Keep block - low opportunity cost")),"")</f>
        <v/>
      </c>
    </row>
    <row r="21">
      <c r="D21">
        <f>IFERROR(B21*C21,"")</f>
        <v/>
      </c>
      <c r="F21">
        <f>IFERROR(B21*(C21-E21),"")</f>
        <v/>
      </c>
      <c r="G21">
        <f>IFERROR(IF(F21&gt;500,"Shift personal stay to shoulder season - high opportunity cost",IF(F21&gt;150,"Consider shifting - moderate savings","Keep block - low opportunity cost")),"")</f>
        <v/>
      </c>
    </row>
    <row r="22">
      <c r="D22">
        <f>IFERROR(B22*C22,"")</f>
        <v/>
      </c>
      <c r="F22">
        <f>IFERROR(B22*(C22-E22),"")</f>
        <v/>
      </c>
      <c r="G22">
        <f>IFERROR(IF(F22&gt;500,"Shift personal stay to shoulder season - high opportunity cost",IF(F22&gt;150,"Consider shifting - moderate savings","Keep block - low opportunity cost")),"")</f>
        <v/>
      </c>
    </row>
    <row r="23">
      <c r="D23">
        <f>IFERROR(B23*C23,"")</f>
        <v/>
      </c>
      <c r="F23">
        <f>IFERROR(B23*(C23-E23),"")</f>
        <v/>
      </c>
      <c r="G23">
        <f>IFERROR(IF(F23&gt;500,"Shift personal stay to shoulder season - high opportunity cost",IF(F23&gt;150,"Consider shifting - moderate savings","Keep block - low opportunity cost")),"")</f>
        <v/>
      </c>
    </row>
    <row r="24">
      <c r="D24">
        <f>IFERROR(B24*C24,"")</f>
        <v/>
      </c>
      <c r="F24">
        <f>IFERROR(B24*(C24-E24),"")</f>
        <v/>
      </c>
      <c r="G24">
        <f>IFERROR(IF(F24&gt;500,"Shift personal stay to shoulder season - high opportunity cost",IF(F24&gt;150,"Consider shifting - moderate savings","Keep block - low opportunity cost")),"")</f>
        <v/>
      </c>
    </row>
    <row r="25">
      <c r="D25">
        <f>IFERROR(B25*C25,"")</f>
        <v/>
      </c>
      <c r="F25">
        <f>IFERROR(B25*(C25-E25),"")</f>
        <v/>
      </c>
      <c r="G25">
        <f>IFERROR(IF(F25&gt;500,"Shift personal stay to shoulder season - high opportunity cost",IF(F25&gt;150,"Consider shifting - moderate savings","Keep block - low opportunity cost")),"")</f>
        <v/>
      </c>
    </row>
  </sheetData>
  <mergeCells count="1">
    <mergeCell ref="A1:G3"/>
  </mergeCells>
  <conditionalFormatting sqref="D6:D25">
    <cfRule type="cellIs" priority="1" operator="greaterThan" dxfId="0">
      <formula>1500</formula>
    </cfRule>
  </conditionalFormatting>
  <conditionalFormatting sqref="F6:F25">
    <cfRule type="cellIs" priority="2" operator="greaterThan" dxfId="2">
      <formula>500</formula>
    </cfRule>
    <cfRule type="cellIs" priority="3" operator="lessThan" dxfId="1">
      <formula>150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2026-06-29T02:40:31Z</dcterms:created>
  <dcterms:modified xsi:type="dcterms:W3CDTF">2026-06-29T03:44:05Z</dcterms:modified>
</cp:coreProperties>
</file>