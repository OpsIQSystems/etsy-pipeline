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Decision" sheetId="1" state="visible" r:id="rId1"/>
    <sheet name="Fle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0" customWidth="1" min="6" max="6"/>
    <col width="26" customWidth="1" min="7" max="7"/>
    <col width="28" customWidth="1" min="8" max="8"/>
    <col width="22" customWidth="1" min="9" max="9"/>
    <col width="30" customWidth="1" min="10" max="10"/>
    <col width="32" customWidth="1" min="11" max="11"/>
    <col width="18" customWidth="1" min="12" max="12"/>
    <col width="28" customWidth="1" min="13" max="13"/>
    <col width="25" customWidth="1" min="14" max="14"/>
    <col width="25" customWidth="1" min="15" max="15"/>
    <col width="32" customWidth="1" min="16" max="16"/>
    <col width="16" customWidth="1" min="17" max="17"/>
  </cols>
  <sheetData>
    <row r="1">
      <c r="A1" s="1" t="inlineStr">
        <is>
          <t>AI INSIGHT SUMMARY:
Mower 3 costs $4.10 per operating hour in repairs versus a fleet average of $1.42 -- it has crossed the replace threshold and should be acted on first. Its total annual cost of ownership ($6,840) now exceeds the cost of financing a replacement ($1,976/year at $38/week), so replacing it saves roughly $4,864 per year. Sprayer Rig 1 and Pump 2 remain economical and should be kept. Downtime is the hidden killer here: Mower 3's breakdowns cost you $3,200 in lost revenue last year, more than its actual repair invoices. Prioritize replacement in this order: Mower 3, then re-evaluate Lift 1 next quarter as its repair ratio is trending toward caution.</t>
        </is>
      </c>
    </row>
    <row r="2"/>
    <row r="3"/>
    <row r="4"/>
    <row r="5">
      <c r="A5" s="2" t="inlineStr">
        <is>
          <t>Asset Name</t>
        </is>
      </c>
      <c r="B5" s="2" t="inlineStr">
        <is>
          <t>Asset Type</t>
        </is>
      </c>
      <c r="C5" s="2" t="inlineStr">
        <is>
          <t>Purchase Price</t>
        </is>
      </c>
      <c r="D5" s="2" t="inlineStr">
        <is>
          <t>Current Resale Value</t>
        </is>
      </c>
      <c r="E5" s="2" t="inlineStr">
        <is>
          <t>Annual Operating Hours</t>
        </is>
      </c>
      <c r="F5" s="2" t="inlineStr">
        <is>
          <t>Annual Repair Cost</t>
        </is>
      </c>
      <c r="G5" s="2" t="inlineStr">
        <is>
          <t>Downtime Hours This Year</t>
        </is>
      </c>
      <c r="H5" s="2" t="inlineStr">
        <is>
          <t>Revenue Per Operating Hour</t>
        </is>
      </c>
      <c r="I5" s="2" t="inlineStr">
        <is>
          <t>Annual Downtime Cost</t>
        </is>
      </c>
      <c r="J5" s="2" t="inlineStr">
        <is>
          <t>Total Annual Cost of Keeping</t>
        </is>
      </c>
      <c r="K5" s="2" t="inlineStr">
        <is>
          <t>Repair Cost Per Operating Hour</t>
        </is>
      </c>
      <c r="L5" s="2" t="inlineStr">
        <is>
          <t>Replacement Cost</t>
        </is>
      </c>
      <c r="M5" s="2" t="inlineStr">
        <is>
          <t>Replacement Weekly Payment</t>
        </is>
      </c>
      <c r="N5" s="2" t="inlineStr">
        <is>
          <t>Annual Replacement Cost</t>
        </is>
      </c>
      <c r="O5" s="2" t="inlineStr">
        <is>
          <t>Repair-to-Replace Ratio</t>
        </is>
      </c>
      <c r="P5" s="2" t="inlineStr">
        <is>
          <t>Net Annual Savings If Replaced</t>
        </is>
      </c>
      <c r="Q5" s="2" t="inlineStr">
        <is>
          <t>Verdict</t>
        </is>
      </c>
    </row>
    <row r="6">
      <c r="A6" t="inlineStr">
        <is>
          <t>Mower 3</t>
        </is>
      </c>
      <c r="B6" t="inlineStr">
        <is>
          <t>Mower</t>
        </is>
      </c>
      <c r="C6" t="n">
        <v>9500</v>
      </c>
      <c r="D6" t="n">
        <v>1200</v>
      </c>
      <c r="E6" t="n">
        <v>1100</v>
      </c>
      <c r="F6" t="n">
        <v>4510</v>
      </c>
      <c r="G6" t="n">
        <v>80</v>
      </c>
      <c r="H6" t="n">
        <v>40</v>
      </c>
      <c r="I6">
        <f>IFERROR(G6*H6,"")</f>
        <v/>
      </c>
      <c r="J6">
        <f>IFERROR(F6+I6,"")</f>
        <v/>
      </c>
      <c r="K6">
        <f>IFERROR(IF(E6=0,0,F6/E6),"")</f>
        <v/>
      </c>
      <c r="L6" t="n">
        <v>7600</v>
      </c>
      <c r="M6" t="n">
        <v>38</v>
      </c>
      <c r="N6">
        <f>IFERROR(M6*52,"")</f>
        <v/>
      </c>
      <c r="O6">
        <f>IFERROR(IF(N6=0,0,J6/N6),"")</f>
        <v/>
      </c>
      <c r="P6">
        <f>IFERROR(J6-N6,"")</f>
        <v/>
      </c>
      <c r="Q6">
        <f>IFERROR(IF(O6&gt;1.2,"REPLACE NOW - keeping it costs $"&amp;TEXT(P6,"#,##0")&amp;"/yr more than replacing",IF(O6&gt;0.85,"WATCH - approaching replace threshold","KEEP - still economical")),"")</f>
        <v/>
      </c>
    </row>
    <row r="7">
      <c r="A7" t="inlineStr">
        <is>
          <t>Mower 1</t>
        </is>
      </c>
      <c r="B7" t="inlineStr">
        <is>
          <t>Mower</t>
        </is>
      </c>
      <c r="C7" t="n">
        <v>9500</v>
      </c>
      <c r="D7" t="n">
        <v>4800</v>
      </c>
      <c r="E7" t="n">
        <v>1300</v>
      </c>
      <c r="F7" t="n">
        <v>1430</v>
      </c>
      <c r="G7" t="n">
        <v>12</v>
      </c>
      <c r="H7" t="n">
        <v>40</v>
      </c>
      <c r="I7">
        <f>IFERROR(G7*H7,"")</f>
        <v/>
      </c>
      <c r="J7">
        <f>IFERROR(F7+I7,"")</f>
        <v/>
      </c>
      <c r="K7">
        <f>IFERROR(IF(E7=0,0,F7/E7),"")</f>
        <v/>
      </c>
      <c r="L7" t="n">
        <v>7600</v>
      </c>
      <c r="M7" t="n">
        <v>38</v>
      </c>
      <c r="N7">
        <f>IFERROR(M7*52,"")</f>
        <v/>
      </c>
      <c r="O7">
        <f>IFERROR(IF(N7=0,0,J7/N7),"")</f>
        <v/>
      </c>
      <c r="P7">
        <f>IFERROR(J7-N7,"")</f>
        <v/>
      </c>
      <c r="Q7">
        <f>IFERROR(IF(O7&gt;1.2,"REPLACE NOW - keeping it costs $"&amp;TEXT(P7,"#,##0")&amp;"/yr more than replacing",IF(O7&gt;0.85,"WATCH - approaching replace threshold","KEEP - still economical")),"")</f>
        <v/>
      </c>
    </row>
    <row r="8">
      <c r="A8" t="inlineStr">
        <is>
          <t>Sprayer Rig 1</t>
        </is>
      </c>
      <c r="B8" t="inlineStr">
        <is>
          <t>Sprayer</t>
        </is>
      </c>
      <c r="C8" t="n">
        <v>14000</v>
      </c>
      <c r="D8" t="n">
        <v>8500</v>
      </c>
      <c r="E8" t="n">
        <v>1600</v>
      </c>
      <c r="F8" t="n">
        <v>1280</v>
      </c>
      <c r="G8" t="n">
        <v>6</v>
      </c>
      <c r="H8" t="n">
        <v>55</v>
      </c>
      <c r="I8">
        <f>IFERROR(G8*H8,"")</f>
        <v/>
      </c>
      <c r="J8">
        <f>IFERROR(F8+I8,"")</f>
        <v/>
      </c>
      <c r="K8">
        <f>IFERROR(IF(E8=0,0,F8/E8),"")</f>
        <v/>
      </c>
      <c r="L8" t="n">
        <v>12000</v>
      </c>
      <c r="M8" t="n">
        <v>60</v>
      </c>
      <c r="N8">
        <f>IFERROR(M8*52,"")</f>
        <v/>
      </c>
      <c r="O8">
        <f>IFERROR(IF(N8=0,0,J8/N8),"")</f>
        <v/>
      </c>
      <c r="P8">
        <f>IFERROR(J8-N8,"")</f>
        <v/>
      </c>
      <c r="Q8">
        <f>IFERROR(IF(O8&gt;1.2,"REPLACE NOW - keeping it costs $"&amp;TEXT(P8,"#,##0")&amp;"/yr more than replacing",IF(O8&gt;0.85,"WATCH - approaching replace threshold","KEEP - still economical")),"")</f>
        <v/>
      </c>
    </row>
    <row r="9">
      <c r="A9" t="inlineStr">
        <is>
          <t>Pump 2</t>
        </is>
      </c>
      <c r="B9" t="inlineStr">
        <is>
          <t>Pool Pump</t>
        </is>
      </c>
      <c r="C9" t="n">
        <v>3200</v>
      </c>
      <c r="D9" t="n">
        <v>1500</v>
      </c>
      <c r="E9" t="n">
        <v>900</v>
      </c>
      <c r="F9" t="n">
        <v>540</v>
      </c>
      <c r="G9" t="n">
        <v>4</v>
      </c>
      <c r="H9" t="n">
        <v>30</v>
      </c>
      <c r="I9">
        <f>IFERROR(G9*H9,"")</f>
        <v/>
      </c>
      <c r="J9">
        <f>IFERROR(F9+I9,"")</f>
        <v/>
      </c>
      <c r="K9">
        <f>IFERROR(IF(E9=0,0,F9/E9),"")</f>
        <v/>
      </c>
      <c r="L9" t="n">
        <v>2800</v>
      </c>
      <c r="M9" t="n">
        <v>14</v>
      </c>
      <c r="N9">
        <f>IFERROR(M9*52,"")</f>
        <v/>
      </c>
      <c r="O9">
        <f>IFERROR(IF(N9=0,0,J9/N9),"")</f>
        <v/>
      </c>
      <c r="P9">
        <f>IFERROR(J9-N9,"")</f>
        <v/>
      </c>
      <c r="Q9">
        <f>IFERROR(IF(O9&gt;1.2,"REPLACE NOW - keeping it costs $"&amp;TEXT(P9,"#,##0")&amp;"/yr more than replacing",IF(O9&gt;0.85,"WATCH - approaching replace threshold","KEEP - still economical")),"")</f>
        <v/>
      </c>
    </row>
    <row r="10">
      <c r="A10" t="inlineStr">
        <is>
          <t>Lift 1</t>
        </is>
      </c>
      <c r="B10" t="inlineStr">
        <is>
          <t>Lift</t>
        </is>
      </c>
      <c r="C10" t="n">
        <v>22000</v>
      </c>
      <c r="D10" t="n">
        <v>11000</v>
      </c>
      <c r="E10" t="n">
        <v>1400</v>
      </c>
      <c r="F10" t="n">
        <v>3360</v>
      </c>
      <c r="G10" t="n">
        <v>30</v>
      </c>
      <c r="H10" t="n">
        <v>65</v>
      </c>
      <c r="I10">
        <f>IFERROR(G10*H10,"")</f>
        <v/>
      </c>
      <c r="J10">
        <f>IFERROR(F10+I10,"")</f>
        <v/>
      </c>
      <c r="K10">
        <f>IFERROR(IF(E10=0,0,F10/E10),"")</f>
        <v/>
      </c>
      <c r="L10" t="n">
        <v>19000</v>
      </c>
      <c r="M10" t="n">
        <v>95</v>
      </c>
      <c r="N10">
        <f>IFERROR(M10*52,"")</f>
        <v/>
      </c>
      <c r="O10">
        <f>IFERROR(IF(N10=0,0,J10/N10),"")</f>
        <v/>
      </c>
      <c r="P10">
        <f>IFERROR(J10-N10,"")</f>
        <v/>
      </c>
      <c r="Q10">
        <f>IFERROR(IF(O10&gt;1.2,"REPLACE NOW - keeping it costs $"&amp;TEXT(P10,"#,##0")&amp;"/yr more than replacing",IF(O10&gt;0.85,"WATCH - approaching replace threshold","KEEP - still economical")),"")</f>
        <v/>
      </c>
    </row>
    <row r="11">
      <c r="A11" t="inlineStr">
        <is>
          <t>Van 4</t>
        </is>
      </c>
      <c r="B11" t="inlineStr">
        <is>
          <t>Truck/Van</t>
        </is>
      </c>
      <c r="C11" t="n">
        <v>34000</v>
      </c>
      <c r="D11" t="n">
        <v>14000</v>
      </c>
      <c r="E11" t="n">
        <v>1800</v>
      </c>
      <c r="F11" t="n">
        <v>2160</v>
      </c>
      <c r="G11" t="n">
        <v>10</v>
      </c>
      <c r="H11" t="n">
        <v>70</v>
      </c>
      <c r="I11">
        <f>IFERROR(G11*H11,"")</f>
        <v/>
      </c>
      <c r="J11">
        <f>IFERROR(F11+I11,"")</f>
        <v/>
      </c>
      <c r="K11">
        <f>IFERROR(IF(E11=0,0,F11/E11),"")</f>
        <v/>
      </c>
      <c r="L11" t="n">
        <v>28000</v>
      </c>
      <c r="M11" t="n">
        <v>140</v>
      </c>
      <c r="N11">
        <f>IFERROR(M11*52,"")</f>
        <v/>
      </c>
      <c r="O11">
        <f>IFERROR(IF(N11=0,0,J11/N11),"")</f>
        <v/>
      </c>
      <c r="P11">
        <f>IFERROR(J11-N11,"")</f>
        <v/>
      </c>
      <c r="Q11">
        <f>IFERROR(IF(O11&gt;1.2,"REPLACE NOW - keeping it costs $"&amp;TEXT(P11,"#,##0")&amp;"/yr more than replacing",IF(O11&gt;0.85,"WATCH - approaching replace threshold","KEEP - still economical")),"")</f>
        <v/>
      </c>
    </row>
    <row r="12">
      <c r="I12">
        <f>IFERROR(G12*H12,"")</f>
        <v/>
      </c>
      <c r="J12">
        <f>IFERROR(F12+I12,"")</f>
        <v/>
      </c>
      <c r="K12">
        <f>IFERROR(IF(E12=0,0,F12/E12),"")</f>
        <v/>
      </c>
      <c r="N12">
        <f>IFERROR(M12*52,"")</f>
        <v/>
      </c>
      <c r="O12">
        <f>IFERROR(IF(N12=0,0,J12/N12),"")</f>
        <v/>
      </c>
      <c r="P12">
        <f>IFERROR(J12-N12,"")</f>
        <v/>
      </c>
      <c r="Q12">
        <f>IFERROR(IF(O12&gt;1.2,"REPLACE NOW - keeping it costs $"&amp;TEXT(P12,"#,##0")&amp;"/yr more than replacing",IF(O12&gt;0.85,"WATCH - approaching replace threshold","KEEP - still economical")),"")</f>
        <v/>
      </c>
    </row>
    <row r="13">
      <c r="I13">
        <f>IFERROR(G13*H13,"")</f>
        <v/>
      </c>
      <c r="J13">
        <f>IFERROR(F13+I13,"")</f>
        <v/>
      </c>
      <c r="K13">
        <f>IFERROR(IF(E13=0,0,F13/E13),"")</f>
        <v/>
      </c>
      <c r="N13">
        <f>IFERROR(M13*52,"")</f>
        <v/>
      </c>
      <c r="O13">
        <f>IFERROR(IF(N13=0,0,J13/N13),"")</f>
        <v/>
      </c>
      <c r="P13">
        <f>IFERROR(J13-N13,"")</f>
        <v/>
      </c>
      <c r="Q13">
        <f>IFERROR(IF(O13&gt;1.2,"REPLACE NOW - keeping it costs $"&amp;TEXT(P13,"#,##0")&amp;"/yr more than replacing",IF(O13&gt;0.85,"WATCH - approaching replace threshold","KEEP - still economical")),"")</f>
        <v/>
      </c>
    </row>
    <row r="14">
      <c r="I14">
        <f>IFERROR(G14*H14,"")</f>
        <v/>
      </c>
      <c r="J14">
        <f>IFERROR(F14+I14,"")</f>
        <v/>
      </c>
      <c r="K14">
        <f>IFERROR(IF(E14=0,0,F14/E14),"")</f>
        <v/>
      </c>
      <c r="N14">
        <f>IFERROR(M14*52,"")</f>
        <v/>
      </c>
      <c r="O14">
        <f>IFERROR(IF(N14=0,0,J14/N14),"")</f>
        <v/>
      </c>
      <c r="P14">
        <f>IFERROR(J14-N14,"")</f>
        <v/>
      </c>
      <c r="Q14">
        <f>IFERROR(IF(O14&gt;1.2,"REPLACE NOW - keeping it costs $"&amp;TEXT(P14,"#,##0")&amp;"/yr more than replacing",IF(O14&gt;0.85,"WATCH - approaching replace threshold","KEEP - still economical")),"")</f>
        <v/>
      </c>
    </row>
    <row r="15">
      <c r="I15">
        <f>IFERROR(G15*H15,"")</f>
        <v/>
      </c>
      <c r="J15">
        <f>IFERROR(F15+I15,"")</f>
        <v/>
      </c>
      <c r="K15">
        <f>IFERROR(IF(E15=0,0,F15/E15),"")</f>
        <v/>
      </c>
      <c r="N15">
        <f>IFERROR(M15*52,"")</f>
        <v/>
      </c>
      <c r="O15">
        <f>IFERROR(IF(N15=0,0,J15/N15),"")</f>
        <v/>
      </c>
      <c r="P15">
        <f>IFERROR(J15-N15,"")</f>
        <v/>
      </c>
      <c r="Q15">
        <f>IFERROR(IF(O15&gt;1.2,"REPLACE NOW - keeping it costs $"&amp;TEXT(P15,"#,##0")&amp;"/yr more than replacing",IF(O15&gt;0.85,"WATCH - approaching replace threshold","KEEP - still economical")),"")</f>
        <v/>
      </c>
    </row>
    <row r="16">
      <c r="I16">
        <f>IFERROR(G16*H16,"")</f>
        <v/>
      </c>
      <c r="J16">
        <f>IFERROR(F16+I16,"")</f>
        <v/>
      </c>
      <c r="K16">
        <f>IFERROR(IF(E16=0,0,F16/E16),"")</f>
        <v/>
      </c>
      <c r="N16">
        <f>IFERROR(M16*52,"")</f>
        <v/>
      </c>
      <c r="O16">
        <f>IFERROR(IF(N16=0,0,J16/N16),"")</f>
        <v/>
      </c>
      <c r="P16">
        <f>IFERROR(J16-N16,"")</f>
        <v/>
      </c>
      <c r="Q16">
        <f>IFERROR(IF(O16&gt;1.2,"REPLACE NOW - keeping it costs $"&amp;TEXT(P16,"#,##0")&amp;"/yr more than replacing",IF(O16&gt;0.85,"WATCH - approaching replace threshold","KEEP - still economical")),"")</f>
        <v/>
      </c>
    </row>
    <row r="17">
      <c r="I17">
        <f>IFERROR(G17*H17,"")</f>
        <v/>
      </c>
      <c r="J17">
        <f>IFERROR(F17+I17,"")</f>
        <v/>
      </c>
      <c r="K17">
        <f>IFERROR(IF(E17=0,0,F17/E17),"")</f>
        <v/>
      </c>
      <c r="N17">
        <f>IFERROR(M17*52,"")</f>
        <v/>
      </c>
      <c r="O17">
        <f>IFERROR(IF(N17=0,0,J17/N17),"")</f>
        <v/>
      </c>
      <c r="P17">
        <f>IFERROR(J17-N17,"")</f>
        <v/>
      </c>
      <c r="Q17">
        <f>IFERROR(IF(O17&gt;1.2,"REPLACE NOW - keeping it costs $"&amp;TEXT(P17,"#,##0")&amp;"/yr more than replacing",IF(O17&gt;0.85,"WATCH - approaching replace threshold","KEEP - still economical")),"")</f>
        <v/>
      </c>
    </row>
    <row r="18">
      <c r="I18">
        <f>IFERROR(G18*H18,"")</f>
        <v/>
      </c>
      <c r="J18">
        <f>IFERROR(F18+I18,"")</f>
        <v/>
      </c>
      <c r="K18">
        <f>IFERROR(IF(E18=0,0,F18/E18),"")</f>
        <v/>
      </c>
      <c r="N18">
        <f>IFERROR(M18*52,"")</f>
        <v/>
      </c>
      <c r="O18">
        <f>IFERROR(IF(N18=0,0,J18/N18),"")</f>
        <v/>
      </c>
      <c r="P18">
        <f>IFERROR(J18-N18,"")</f>
        <v/>
      </c>
      <c r="Q18">
        <f>IFERROR(IF(O18&gt;1.2,"REPLACE NOW - keeping it costs $"&amp;TEXT(P18,"#,##0")&amp;"/yr more than replacing",IF(O18&gt;0.85,"WATCH - approaching replace threshold","KEEP - still economical")),"")</f>
        <v/>
      </c>
    </row>
    <row r="19">
      <c r="I19">
        <f>IFERROR(G19*H19,"")</f>
        <v/>
      </c>
      <c r="J19">
        <f>IFERROR(F19+I19,"")</f>
        <v/>
      </c>
      <c r="K19">
        <f>IFERROR(IF(E19=0,0,F19/E19),"")</f>
        <v/>
      </c>
      <c r="N19">
        <f>IFERROR(M19*52,"")</f>
        <v/>
      </c>
      <c r="O19">
        <f>IFERROR(IF(N19=0,0,J19/N19),"")</f>
        <v/>
      </c>
      <c r="P19">
        <f>IFERROR(J19-N19,"")</f>
        <v/>
      </c>
      <c r="Q19">
        <f>IFERROR(IF(O19&gt;1.2,"REPLACE NOW - keeping it costs $"&amp;TEXT(P19,"#,##0")&amp;"/yr more than replacing",IF(O19&gt;0.85,"WATCH - approaching replace threshold","KEEP - still economical")),"")</f>
        <v/>
      </c>
    </row>
    <row r="20">
      <c r="I20">
        <f>IFERROR(G20*H20,"")</f>
        <v/>
      </c>
      <c r="J20">
        <f>IFERROR(F20+I20,"")</f>
        <v/>
      </c>
      <c r="K20">
        <f>IFERROR(IF(E20=0,0,F20/E20),"")</f>
        <v/>
      </c>
      <c r="N20">
        <f>IFERROR(M20*52,"")</f>
        <v/>
      </c>
      <c r="O20">
        <f>IFERROR(IF(N20=0,0,J20/N20),"")</f>
        <v/>
      </c>
      <c r="P20">
        <f>IFERROR(J20-N20,"")</f>
        <v/>
      </c>
      <c r="Q20">
        <f>IFERROR(IF(O20&gt;1.2,"REPLACE NOW - keeping it costs $"&amp;TEXT(P20,"#,##0")&amp;"/yr more than replacing",IF(O20&gt;0.85,"WATCH - approaching replace threshold","KEEP - still economical")),"")</f>
        <v/>
      </c>
    </row>
    <row r="21">
      <c r="I21">
        <f>IFERROR(G21*H21,"")</f>
        <v/>
      </c>
      <c r="J21">
        <f>IFERROR(F21+I21,"")</f>
        <v/>
      </c>
      <c r="K21">
        <f>IFERROR(IF(E21=0,0,F21/E21),"")</f>
        <v/>
      </c>
      <c r="N21">
        <f>IFERROR(M21*52,"")</f>
        <v/>
      </c>
      <c r="O21">
        <f>IFERROR(IF(N21=0,0,J21/N21),"")</f>
        <v/>
      </c>
      <c r="P21">
        <f>IFERROR(J21-N21,"")</f>
        <v/>
      </c>
      <c r="Q21">
        <f>IFERROR(IF(O21&gt;1.2,"REPLACE NOW - keeping it costs $"&amp;TEXT(P21,"#,##0")&amp;"/yr more than replacing",IF(O21&gt;0.85,"WATCH - approaching replace threshold","KEEP - still economical")),"")</f>
        <v/>
      </c>
    </row>
    <row r="22">
      <c r="I22">
        <f>IFERROR(G22*H22,"")</f>
        <v/>
      </c>
      <c r="J22">
        <f>IFERROR(F22+I22,"")</f>
        <v/>
      </c>
      <c r="K22">
        <f>IFERROR(IF(E22=0,0,F22/E22),"")</f>
        <v/>
      </c>
      <c r="N22">
        <f>IFERROR(M22*52,"")</f>
        <v/>
      </c>
      <c r="O22">
        <f>IFERROR(IF(N22=0,0,J22/N22),"")</f>
        <v/>
      </c>
      <c r="P22">
        <f>IFERROR(J22-N22,"")</f>
        <v/>
      </c>
      <c r="Q22">
        <f>IFERROR(IF(O22&gt;1.2,"REPLACE NOW - keeping it costs $"&amp;TEXT(P22,"#,##0")&amp;"/yr more than replacing",IF(O22&gt;0.85,"WATCH - approaching replace threshold","KEEP - still economical")),"")</f>
        <v/>
      </c>
    </row>
    <row r="23">
      <c r="I23">
        <f>IFERROR(G23*H23,"")</f>
        <v/>
      </c>
      <c r="J23">
        <f>IFERROR(F23+I23,"")</f>
        <v/>
      </c>
      <c r="K23">
        <f>IFERROR(IF(E23=0,0,F23/E23),"")</f>
        <v/>
      </c>
      <c r="N23">
        <f>IFERROR(M23*52,"")</f>
        <v/>
      </c>
      <c r="O23">
        <f>IFERROR(IF(N23=0,0,J23/N23),"")</f>
        <v/>
      </c>
      <c r="P23">
        <f>IFERROR(J23-N23,"")</f>
        <v/>
      </c>
      <c r="Q23">
        <f>IFERROR(IF(O23&gt;1.2,"REPLACE NOW - keeping it costs $"&amp;TEXT(P23,"#,##0")&amp;"/yr more than replacing",IF(O23&gt;0.85,"WATCH - approaching replace threshold","KEEP - still economical")),"")</f>
        <v/>
      </c>
    </row>
    <row r="24">
      <c r="I24">
        <f>IFERROR(G24*H24,"")</f>
        <v/>
      </c>
      <c r="J24">
        <f>IFERROR(F24+I24,"")</f>
        <v/>
      </c>
      <c r="K24">
        <f>IFERROR(IF(E24=0,0,F24/E24),"")</f>
        <v/>
      </c>
      <c r="N24">
        <f>IFERROR(M24*52,"")</f>
        <v/>
      </c>
      <c r="O24">
        <f>IFERROR(IF(N24=0,0,J24/N24),"")</f>
        <v/>
      </c>
      <c r="P24">
        <f>IFERROR(J24-N24,"")</f>
        <v/>
      </c>
      <c r="Q24">
        <f>IFERROR(IF(O24&gt;1.2,"REPLACE NOW - keeping it costs $"&amp;TEXT(P24,"#,##0")&amp;"/yr more than replacing",IF(O24&gt;0.85,"WATCH - approaching replace threshold","KEEP - still economical")),"")</f>
        <v/>
      </c>
    </row>
    <row r="25">
      <c r="I25">
        <f>IFERROR(G25*H25,"")</f>
        <v/>
      </c>
      <c r="J25">
        <f>IFERROR(F25+I25,"")</f>
        <v/>
      </c>
      <c r="K25">
        <f>IFERROR(IF(E25=0,0,F25/E25),"")</f>
        <v/>
      </c>
      <c r="N25">
        <f>IFERROR(M25*52,"")</f>
        <v/>
      </c>
      <c r="O25">
        <f>IFERROR(IF(N25=0,0,J25/N25),"")</f>
        <v/>
      </c>
      <c r="P25">
        <f>IFERROR(J25-N25,"")</f>
        <v/>
      </c>
      <c r="Q25">
        <f>IFERROR(IF(O25&gt;1.2,"REPLACE NOW - keeping it costs $"&amp;TEXT(P25,"#,##0")&amp;"/yr more than replacing",IF(O25&gt;0.85,"WATCH - approaching replace threshold","KEEP - still economical")),"")</f>
        <v/>
      </c>
    </row>
    <row r="26">
      <c r="I26">
        <f>IFERROR(G26*H26,"")</f>
        <v/>
      </c>
      <c r="J26">
        <f>IFERROR(F26+I26,"")</f>
        <v/>
      </c>
      <c r="K26">
        <f>IFERROR(IF(E26=0,0,F26/E26),"")</f>
        <v/>
      </c>
      <c r="N26">
        <f>IFERROR(M26*52,"")</f>
        <v/>
      </c>
      <c r="O26">
        <f>IFERROR(IF(N26=0,0,J26/N26),"")</f>
        <v/>
      </c>
      <c r="P26">
        <f>IFERROR(J26-N26,"")</f>
        <v/>
      </c>
      <c r="Q26">
        <f>IFERROR(IF(O26&gt;1.2,"REPLACE NOW - keeping it costs $"&amp;TEXT(P26,"#,##0")&amp;"/yr more than replacing",IF(O26&gt;0.85,"WATCH - approaching replace threshold","KEEP - still economical")),"")</f>
        <v/>
      </c>
    </row>
  </sheetData>
  <mergeCells count="1">
    <mergeCell ref="A1:Q3"/>
  </mergeCells>
  <conditionalFormatting sqref="O6:O26">
    <cfRule type="cellIs" priority="1" operator="greaterThan" dxfId="0">
      <formula>1.2</formula>
    </cfRule>
    <cfRule type="cellIs" priority="2" operator="greaterThan" dxfId="1">
      <formula>0.85</formula>
    </cfRule>
    <cfRule type="cellIs" priority="3" operator="lessThan" dxfId="2">
      <formula>0.85</formula>
    </cfRule>
  </conditionalFormatting>
  <conditionalFormatting sqref="P6:P26">
    <cfRule type="cellIs" priority="4" operator="greaterThan" dxfId="0">
      <formula>0</formula>
    </cfRule>
  </conditionalFormatting>
  <conditionalFormatting sqref="K6:K26">
    <cfRule type="cellIs" priority="5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AI INSIGHT SUMMARY:
Mower 3 costs $4.10 per operating hour in repairs versus a fleet average of $1.42 -- it has crossed the replace threshold and should be acted on first. Its total annual cost of ownership ($6,840) now exceeds the cost of financing a replacement ($1,976/year at $38/week), so replacing it saves roughly $4,864 per year. Sprayer Rig 1 and Pump 2 remain economical and should be kept. Downtime is the hidden killer here: Mower 3's breakdowns cost you $3,200 in lost revenue last year, more than its actual repair invoices. Prioritize replacement in this order: Mower 3, then re-evaluate Lift 1 next quarter as its repair ratio is trending toward caution.</t>
        </is>
      </c>
    </row>
    <row r="2"/>
    <row r="3"/>
    <row r="4"/>
    <row r="5">
      <c r="A5" s="2" t="inlineStr">
        <is>
          <t>Metric</t>
        </is>
      </c>
      <c r="B5" s="2" t="inlineStr">
        <is>
          <t>Value</t>
        </is>
      </c>
      <c r="C5" s="2" t="inlineStr">
        <is>
          <t>Fleet Benchmark</t>
        </is>
      </c>
      <c r="D5" s="2" t="inlineStr">
        <is>
          <t>Status</t>
        </is>
      </c>
    </row>
    <row r="6">
      <c r="A6" t="inlineStr">
        <is>
          <t>Fleet Avg Repair Cost Per Hour</t>
        </is>
      </c>
      <c r="B6" t="n">
        <v>1.7</v>
      </c>
      <c r="C6" t="n">
        <v>1.42</v>
      </c>
      <c r="D6">
        <f>IFERROR(IF(B6&gt;C6*1.2,"ABOVE THRESHOLD - action needed",IF(B6&gt;C6,"Slightly elevated","Healthy")),"")</f>
        <v/>
      </c>
    </row>
    <row r="7">
      <c r="A7" t="inlineStr">
        <is>
          <t>Worst Performing Asset Cost/Hr</t>
        </is>
      </c>
      <c r="B7" t="n">
        <v>4.1</v>
      </c>
      <c r="C7" t="n">
        <v>1.42</v>
      </c>
      <c r="D7">
        <f>IFERROR(IF(B7&gt;C7*1.2,"ABOVE THRESHOLD - action needed",IF(B7&gt;C7,"Slightly elevated","Healthy")),"")</f>
        <v/>
      </c>
    </row>
    <row r="8">
      <c r="A8" t="inlineStr">
        <is>
          <t>Total Annual Downtime Cost</t>
        </is>
      </c>
      <c r="B8" t="n">
        <v>6780</v>
      </c>
      <c r="C8" t="n">
        <v>3000</v>
      </c>
      <c r="D8">
        <f>IFERROR(IF(B8&gt;C8*1.2,"ABOVE THRESHOLD - action needed",IF(B8&gt;C8,"Slightly elevated","Healthy")),"")</f>
        <v/>
      </c>
    </row>
    <row r="9">
      <c r="A9" t="inlineStr">
        <is>
          <t>Assets Flagged REPLACE NOW</t>
        </is>
      </c>
      <c r="B9" t="n">
        <v>2</v>
      </c>
      <c r="C9" t="n">
        <v>1</v>
      </c>
      <c r="D9">
        <f>IFERROR(IF(B9&gt;C9*1.2,"ABOVE THRESHOLD - action needed",IF(B9&gt;C9,"Slightly elevated","Healthy")),"")</f>
        <v/>
      </c>
    </row>
    <row r="10">
      <c r="A10" t="inlineStr">
        <is>
          <t>Total Savings If Flagged Replaced</t>
        </is>
      </c>
      <c r="B10" t="n">
        <v>6104</v>
      </c>
      <c r="C10" t="n">
        <v>0</v>
      </c>
      <c r="D10">
        <f>IFERROR(IF(B10&gt;C10*1.2,"ABOVE THRESHOLD - action needed",IF(B10&gt;C10,"Slightly elevated","Healthy")),"")</f>
        <v/>
      </c>
    </row>
    <row r="11">
      <c r="D11">
        <f>IFERROR(IF(B11&gt;C11*1.2,"ABOVE THRESHOLD - action needed",IF(B11&gt;C11,"Slightly elevated","Healthy")),"")</f>
        <v/>
      </c>
    </row>
    <row r="12">
      <c r="D12">
        <f>IFERROR(IF(B12&gt;C12*1.2,"ABOVE THRESHOLD - action needed",IF(B12&gt;C12,"Slightly elevated","Healthy")),"")</f>
        <v/>
      </c>
    </row>
    <row r="13">
      <c r="D13">
        <f>IFERROR(IF(B13&gt;C13*1.2,"ABOVE THRESHOLD - action needed",IF(B13&gt;C13,"Slightly elevated","Healthy")),"")</f>
        <v/>
      </c>
    </row>
    <row r="14">
      <c r="D14">
        <f>IFERROR(IF(B14&gt;C14*1.2,"ABOVE THRESHOLD - action needed",IF(B14&gt;C14,"Slightly elevated","Healthy")),"")</f>
        <v/>
      </c>
    </row>
    <row r="15">
      <c r="D15">
        <f>IFERROR(IF(B15&gt;C15*1.2,"ABOVE THRESHOLD - action needed",IF(B15&gt;C15,"Slightly elevated","Healthy")),"")</f>
        <v/>
      </c>
    </row>
    <row r="16">
      <c r="D16">
        <f>IFERROR(IF(B16&gt;C16*1.2,"ABOVE THRESHOLD - action needed",IF(B16&gt;C16,"Slightly elevated","Healthy")),"")</f>
        <v/>
      </c>
    </row>
    <row r="17">
      <c r="D17">
        <f>IFERROR(IF(B17&gt;C17*1.2,"ABOVE THRESHOLD - action needed",IF(B17&gt;C17,"Slightly elevated","Healthy")),"")</f>
        <v/>
      </c>
    </row>
    <row r="18">
      <c r="D18">
        <f>IFERROR(IF(B18&gt;C18*1.2,"ABOVE THRESHOLD - action needed",IF(B18&gt;C18,"Slightly elevated","Healthy")),"")</f>
        <v/>
      </c>
    </row>
    <row r="19">
      <c r="D19">
        <f>IFERROR(IF(B19&gt;C19*1.2,"ABOVE THRESHOLD - action needed",IF(B19&gt;C19,"Slightly elevated","Healthy")),"")</f>
        <v/>
      </c>
    </row>
    <row r="20">
      <c r="D20">
        <f>IFERROR(IF(B20&gt;C20*1.2,"ABOVE THRESHOLD - action needed",IF(B20&gt;C20,"Slightly elevated","Healthy")),"")</f>
        <v/>
      </c>
    </row>
    <row r="21">
      <c r="D21">
        <f>IFERROR(IF(B21&gt;C21*1.2,"ABOVE THRESHOLD - action needed",IF(B21&gt;C21,"Slightly elevated","Healthy")),"")</f>
        <v/>
      </c>
    </row>
    <row r="22">
      <c r="D22">
        <f>IFERROR(IF(B22&gt;C22*1.2,"ABOVE THRESHOLD - action needed",IF(B22&gt;C22,"Slightly elevated","Healthy")),"")</f>
        <v/>
      </c>
    </row>
    <row r="23">
      <c r="D23">
        <f>IFERROR(IF(B23&gt;C23*1.2,"ABOVE THRESHOLD - action needed",IF(B23&gt;C23,"Slightly elevated","Healthy")),"")</f>
        <v/>
      </c>
    </row>
    <row r="24">
      <c r="D24">
        <f>IFERROR(IF(B24&gt;C24*1.2,"ABOVE THRESHOLD - action needed",IF(B24&gt;C24,"Slightly elevated","Healthy")),"")</f>
        <v/>
      </c>
    </row>
    <row r="25">
      <c r="D25">
        <f>IFERROR(IF(B25&gt;C25*1.2,"ABOVE THRESHOLD - action needed",IF(B25&gt;C25,"Slightly elevated","Healthy")),"")</f>
        <v/>
      </c>
    </row>
  </sheetData>
  <mergeCells count="1">
    <mergeCell ref="A1:D3"/>
  </mergeCells>
  <conditionalFormatting sqref="B6:B25">
    <cfRule type="cellIs" priority="1" operator="greaterThan" dxfId="0">
      <formula>3</formula>
    </cfRule>
    <cfRule type="cellIs" priority="2" operator="lessThan" dxfId="2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2026-06-29T02:56:00Z</dcterms:created>
  <dcterms:modified xsi:type="dcterms:W3CDTF">2026-06-29T03:44:05Z</dcterms:modified>
</cp:coreProperties>
</file>