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ew Profitability" sheetId="1" state="visible" r:id="rId1"/>
    <sheet name="Truck Replacement" sheetId="2" state="visible" r:id="rId2"/>
    <sheet name="Route Analysis" sheetId="3" state="visible" r:id="rId3"/>
    <sheet name="Weekly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pivotButton="0" quotePrefix="0" xfId="0"/>
  </cellXfs>
  <cellStyles count="1">
    <cellStyle name="Normal" xfId="0" builtinId="0" hidden="0"/>
  </cellStyles>
  <dxfs count="3">
    <dxf>
      <font>
        <color rgb="009C6500"/>
      </font>
      <fill>
        <patternFill patternType="solid">
          <fgColor rgb="00FFEB9C"/>
          <bgColor rgb="00FFEB9C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  <dxf>
      <font>
        <color rgb="00006100"/>
      </font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7" customWidth="1" min="12" max="12"/>
    <col width="23" customWidth="1" min="13" max="13"/>
    <col width="21" customWidth="1" min="14" max="14"/>
    <col width="24" customWidth="1" min="15" max="15"/>
    <col width="16" customWidth="1" min="16" max="16"/>
  </cols>
  <sheetData>
    <row r="1">
      <c r="A1" s="1" t="inlineStr">
        <is>
          <t>AI INSIGHT SUMMARY:
Crew 2 generated $2,340 gross profit this week vs. Crew 1 at $1,610 — a 45% gap driven by 2.1 fewer drive hours per job and 18% lower materials waste. Crew 1 is your priority review this week: route optimization could recover an estimated $730 in weekly profit. Truck 3 repair costs have reached $8,200 this year against a $6,400 annual lease equivalent — replacement is now economically justified. Across all routes, the Tuesday North loop is your only unprofitable route at -$140/week and should be re-priced or cut.</t>
        </is>
      </c>
    </row>
    <row r="2"/>
    <row r="3"/>
    <row r="4"/>
    <row r="5">
      <c r="A5" s="2" t="inlineStr">
        <is>
          <t>Week</t>
        </is>
      </c>
      <c r="B5" s="2" t="inlineStr">
        <is>
          <t>Crew Name</t>
        </is>
      </c>
      <c r="C5" s="2" t="inlineStr">
        <is>
          <t>Jobs Completed</t>
        </is>
      </c>
      <c r="D5" s="2" t="inlineStr">
        <is>
          <t>Revenue</t>
        </is>
      </c>
      <c r="E5" s="2" t="inlineStr">
        <is>
          <t>Labor Hours</t>
        </is>
      </c>
      <c r="F5" s="2" t="inlineStr">
        <is>
          <t>Drive Hours</t>
        </is>
      </c>
      <c r="G5" s="2" t="inlineStr">
        <is>
          <t>Labor Rate</t>
        </is>
      </c>
      <c r="H5" s="2" t="inlineStr">
        <is>
          <t>Materials Cost</t>
        </is>
      </c>
      <c r="I5" s="2" t="inlineStr">
        <is>
          <t>Total Hours</t>
        </is>
      </c>
      <c r="J5" s="2" t="inlineStr">
        <is>
          <t>Labor Cost</t>
        </is>
      </c>
      <c r="K5" s="2" t="inlineStr">
        <is>
          <t>Gross Profit</t>
        </is>
      </c>
      <c r="L5" s="2" t="inlineStr">
        <is>
          <t>Profit Margin %</t>
        </is>
      </c>
      <c r="M5" s="2" t="inlineStr">
        <is>
          <t>Profit Per Labor Hour</t>
        </is>
      </c>
      <c r="N5" s="2" t="inlineStr">
        <is>
          <t>Drive Hours Per Job</t>
        </is>
      </c>
      <c r="O5" s="2" t="inlineStr">
        <is>
          <t>Materials % of Revenue</t>
        </is>
      </c>
      <c r="P5" s="2" t="inlineStr">
        <is>
          <t>Crew Verdict</t>
        </is>
      </c>
    </row>
    <row r="6">
      <c r="A6" t="inlineStr">
        <is>
          <t>2024-W18</t>
        </is>
      </c>
      <c r="B6" t="inlineStr">
        <is>
          <t>Crew 1</t>
        </is>
      </c>
      <c r="C6" t="n">
        <v>9</v>
      </c>
      <c r="D6" t="n">
        <v>6200</v>
      </c>
      <c r="E6" t="n">
        <v>58</v>
      </c>
      <c r="F6" t="n">
        <v>19</v>
      </c>
      <c r="G6" t="n">
        <v>38</v>
      </c>
      <c r="H6" t="n">
        <v>1980</v>
      </c>
      <c r="I6">
        <f>IFERROR(E6+F6,"")</f>
        <v/>
      </c>
      <c r="J6">
        <f>IFERROR(I6*G6,"")</f>
        <v/>
      </c>
      <c r="K6">
        <f>IFERROR(D6-H6-J6,"")</f>
        <v/>
      </c>
      <c r="L6">
        <f>IFERROR(IF(D6=0,0,K6/D6),"")</f>
        <v/>
      </c>
      <c r="M6">
        <f>IFERROR(IF(E6=0,0,K6/E6),"")</f>
        <v/>
      </c>
      <c r="N6">
        <f>IFERROR(IF(C6=0,0,F6/C6),"")</f>
        <v/>
      </c>
      <c r="O6">
        <f>IFERROR(IF(D6=0,0,H6/D6),"")</f>
        <v/>
      </c>
      <c r="P6">
        <f>IFERROR(IF(L6&lt;0,"Losing money - urgent review",IF(L6&lt;0.2,"Underperforming - check drive time &amp; materials",IF(N6&gt;1.5,"Profitable but route inefficient - optimize","Healthy - top performer"))),"")</f>
        <v/>
      </c>
    </row>
    <row r="7">
      <c r="A7" t="inlineStr">
        <is>
          <t>2024-W18</t>
        </is>
      </c>
      <c r="B7" t="inlineStr">
        <is>
          <t>Crew 2</t>
        </is>
      </c>
      <c r="C7" t="n">
        <v>11</v>
      </c>
      <c r="D7" t="n">
        <v>7100</v>
      </c>
      <c r="E7" t="n">
        <v>60</v>
      </c>
      <c r="F7" t="n">
        <v>11</v>
      </c>
      <c r="G7" t="n">
        <v>38</v>
      </c>
      <c r="H7" t="n">
        <v>1620</v>
      </c>
      <c r="I7">
        <f>IFERROR(E7+F7,"")</f>
        <v/>
      </c>
      <c r="J7">
        <f>IFERROR(I7*G7,"")</f>
        <v/>
      </c>
      <c r="K7">
        <f>IFERROR(D7-H7-J7,"")</f>
        <v/>
      </c>
      <c r="L7">
        <f>IFERROR(IF(D7=0,0,K7/D7),"")</f>
        <v/>
      </c>
      <c r="M7">
        <f>IFERROR(IF(E7=0,0,K7/E7),"")</f>
        <v/>
      </c>
      <c r="N7">
        <f>IFERROR(IF(C7=0,0,F7/C7),"")</f>
        <v/>
      </c>
      <c r="O7">
        <f>IFERROR(IF(D7=0,0,H7/D7),"")</f>
        <v/>
      </c>
      <c r="P7">
        <f>IFERROR(IF(L7&lt;0,"Losing money - urgent review",IF(L7&lt;0.2,"Underperforming - check drive time &amp; materials",IF(N7&gt;1.5,"Profitable but route inefficient - optimize","Healthy - top performer"))),"")</f>
        <v/>
      </c>
    </row>
    <row r="8">
      <c r="A8" t="inlineStr">
        <is>
          <t>2024-W18</t>
        </is>
      </c>
      <c r="B8" t="inlineStr">
        <is>
          <t>Crew 3</t>
        </is>
      </c>
      <c r="C8" t="n">
        <v>8</v>
      </c>
      <c r="D8" t="n">
        <v>4800</v>
      </c>
      <c r="E8" t="n">
        <v>50</v>
      </c>
      <c r="F8" t="n">
        <v>24</v>
      </c>
      <c r="G8" t="n">
        <v>38</v>
      </c>
      <c r="H8" t="n">
        <v>2100</v>
      </c>
      <c r="I8">
        <f>IFERROR(E8+F8,"")</f>
        <v/>
      </c>
      <c r="J8">
        <f>IFERROR(I8*G8,"")</f>
        <v/>
      </c>
      <c r="K8">
        <f>IFERROR(D8-H8-J8,"")</f>
        <v/>
      </c>
      <c r="L8">
        <f>IFERROR(IF(D8=0,0,K8/D8),"")</f>
        <v/>
      </c>
      <c r="M8">
        <f>IFERROR(IF(E8=0,0,K8/E8),"")</f>
        <v/>
      </c>
      <c r="N8">
        <f>IFERROR(IF(C8=0,0,F8/C8),"")</f>
        <v/>
      </c>
      <c r="O8">
        <f>IFERROR(IF(D8=0,0,H8/D8),"")</f>
        <v/>
      </c>
      <c r="P8">
        <f>IFERROR(IF(L8&lt;0,"Losing money - urgent review",IF(L8&lt;0.2,"Underperforming - check drive time &amp; materials",IF(N8&gt;1.5,"Profitable but route inefficient - optimize","Healthy - top performer"))),"")</f>
        <v/>
      </c>
    </row>
    <row r="9">
      <c r="A9" t="inlineStr">
        <is>
          <t>2024-W18</t>
        </is>
      </c>
      <c r="B9" t="inlineStr">
        <is>
          <t>Crew 4</t>
        </is>
      </c>
      <c r="C9" t="n">
        <v>10</v>
      </c>
      <c r="D9" t="n">
        <v>6600</v>
      </c>
      <c r="E9" t="n">
        <v>56</v>
      </c>
      <c r="F9" t="n">
        <v>20</v>
      </c>
      <c r="G9" t="n">
        <v>38</v>
      </c>
      <c r="H9" t="n">
        <v>1450</v>
      </c>
      <c r="I9">
        <f>IFERROR(E9+F9,"")</f>
        <v/>
      </c>
      <c r="J9">
        <f>IFERROR(I9*G9,"")</f>
        <v/>
      </c>
      <c r="K9">
        <f>IFERROR(D9-H9-J9,"")</f>
        <v/>
      </c>
      <c r="L9">
        <f>IFERROR(IF(D9=0,0,K9/D9),"")</f>
        <v/>
      </c>
      <c r="M9">
        <f>IFERROR(IF(E9=0,0,K9/E9),"")</f>
        <v/>
      </c>
      <c r="N9">
        <f>IFERROR(IF(C9=0,0,F9/C9),"")</f>
        <v/>
      </c>
      <c r="O9">
        <f>IFERROR(IF(D9=0,0,H9/D9),"")</f>
        <v/>
      </c>
      <c r="P9">
        <f>IFERROR(IF(L9&lt;0,"Losing money - urgent review",IF(L9&lt;0.2,"Underperforming - check drive time &amp; materials",IF(N9&gt;1.5,"Profitable but route inefficient - optimize","Healthy - top performer"))),"")</f>
        <v/>
      </c>
    </row>
    <row r="10">
      <c r="A10" t="inlineStr">
        <is>
          <t>2024-W18</t>
        </is>
      </c>
      <c r="B10" t="inlineStr">
        <is>
          <t>Crew 5</t>
        </is>
      </c>
      <c r="C10" t="n">
        <v>7</v>
      </c>
      <c r="D10" t="n">
        <v>5200</v>
      </c>
      <c r="E10" t="n">
        <v>44</v>
      </c>
      <c r="F10" t="n">
        <v>9</v>
      </c>
      <c r="G10" t="n">
        <v>38</v>
      </c>
      <c r="H10" t="n">
        <v>1100</v>
      </c>
      <c r="I10">
        <f>IFERROR(E10+F10,"")</f>
        <v/>
      </c>
      <c r="J10">
        <f>IFERROR(I10*G10,"")</f>
        <v/>
      </c>
      <c r="K10">
        <f>IFERROR(D10-H10-J10,"")</f>
        <v/>
      </c>
      <c r="L10">
        <f>IFERROR(IF(D10=0,0,K10/D10),"")</f>
        <v/>
      </c>
      <c r="M10">
        <f>IFERROR(IF(E10=0,0,K10/E10),"")</f>
        <v/>
      </c>
      <c r="N10">
        <f>IFERROR(IF(C10=0,0,F10/C10),"")</f>
        <v/>
      </c>
      <c r="O10">
        <f>IFERROR(IF(D10=0,0,H10/D10),"")</f>
        <v/>
      </c>
      <c r="P10">
        <f>IFERROR(IF(L10&lt;0,"Losing money - urgent review",IF(L10&lt;0.2,"Underperforming - check drive time &amp; materials",IF(N10&gt;1.5,"Profitable but route inefficient - optimize","Healthy - top performer"))),"")</f>
        <v/>
      </c>
    </row>
    <row r="11">
      <c r="I11">
        <f>IFERROR(E11+F11,"")</f>
        <v/>
      </c>
      <c r="J11">
        <f>IFERROR(I11*G11,"")</f>
        <v/>
      </c>
      <c r="K11">
        <f>IFERROR(D11-H11-J11,"")</f>
        <v/>
      </c>
      <c r="L11">
        <f>IFERROR(IF(D11=0,0,K11/D11),"")</f>
        <v/>
      </c>
      <c r="M11">
        <f>IFERROR(IF(E11=0,0,K11/E11),"")</f>
        <v/>
      </c>
      <c r="N11">
        <f>IFERROR(IF(C11=0,0,F11/C11),"")</f>
        <v/>
      </c>
      <c r="O11">
        <f>IFERROR(IF(D11=0,0,H11/D11),"")</f>
        <v/>
      </c>
      <c r="P11">
        <f>IFERROR(IF(L11&lt;0,"Losing money - urgent review",IF(L11&lt;0.2,"Underperforming - check drive time &amp; materials",IF(N11&gt;1.5,"Profitable but route inefficient - optimize","Healthy - top performer"))),"")</f>
        <v/>
      </c>
    </row>
    <row r="12">
      <c r="I12">
        <f>IFERROR(E12+F12,"")</f>
        <v/>
      </c>
      <c r="J12">
        <f>IFERROR(I12*G12,"")</f>
        <v/>
      </c>
      <c r="K12">
        <f>IFERROR(D12-H12-J12,"")</f>
        <v/>
      </c>
      <c r="L12">
        <f>IFERROR(IF(D12=0,0,K12/D12),"")</f>
        <v/>
      </c>
      <c r="M12">
        <f>IFERROR(IF(E12=0,0,K12/E12),"")</f>
        <v/>
      </c>
      <c r="N12">
        <f>IFERROR(IF(C12=0,0,F12/C12),"")</f>
        <v/>
      </c>
      <c r="O12">
        <f>IFERROR(IF(D12=0,0,H12/D12),"")</f>
        <v/>
      </c>
      <c r="P12">
        <f>IFERROR(IF(L12&lt;0,"Losing money - urgent review",IF(L12&lt;0.2,"Underperforming - check drive time &amp; materials",IF(N12&gt;1.5,"Profitable but route inefficient - optimize","Healthy - top performer"))),"")</f>
        <v/>
      </c>
    </row>
    <row r="13">
      <c r="I13">
        <f>IFERROR(E13+F13,"")</f>
        <v/>
      </c>
      <c r="J13">
        <f>IFERROR(I13*G13,"")</f>
        <v/>
      </c>
      <c r="K13">
        <f>IFERROR(D13-H13-J13,"")</f>
        <v/>
      </c>
      <c r="L13">
        <f>IFERROR(IF(D13=0,0,K13/D13),"")</f>
        <v/>
      </c>
      <c r="M13">
        <f>IFERROR(IF(E13=0,0,K13/E13),"")</f>
        <v/>
      </c>
      <c r="N13">
        <f>IFERROR(IF(C13=0,0,F13/C13),"")</f>
        <v/>
      </c>
      <c r="O13">
        <f>IFERROR(IF(D13=0,0,H13/D13),"")</f>
        <v/>
      </c>
      <c r="P13">
        <f>IFERROR(IF(L13&lt;0,"Losing money - urgent review",IF(L13&lt;0.2,"Underperforming - check drive time &amp; materials",IF(N13&gt;1.5,"Profitable but route inefficient - optimize","Healthy - top performer"))),"")</f>
        <v/>
      </c>
    </row>
    <row r="14">
      <c r="I14">
        <f>IFERROR(E14+F14,"")</f>
        <v/>
      </c>
      <c r="J14">
        <f>IFERROR(I14*G14,"")</f>
        <v/>
      </c>
      <c r="K14">
        <f>IFERROR(D14-H14-J14,"")</f>
        <v/>
      </c>
      <c r="L14">
        <f>IFERROR(IF(D14=0,0,K14/D14),"")</f>
        <v/>
      </c>
      <c r="M14">
        <f>IFERROR(IF(E14=0,0,K14/E14),"")</f>
        <v/>
      </c>
      <c r="N14">
        <f>IFERROR(IF(C14=0,0,F14/C14),"")</f>
        <v/>
      </c>
      <c r="O14">
        <f>IFERROR(IF(D14=0,0,H14/D14),"")</f>
        <v/>
      </c>
      <c r="P14">
        <f>IFERROR(IF(L14&lt;0,"Losing money - urgent review",IF(L14&lt;0.2,"Underperforming - check drive time &amp; materials",IF(N14&gt;1.5,"Profitable but route inefficient - optimize","Healthy - top performer"))),"")</f>
        <v/>
      </c>
    </row>
    <row r="15">
      <c r="I15">
        <f>IFERROR(E15+F15,"")</f>
        <v/>
      </c>
      <c r="J15">
        <f>IFERROR(I15*G15,"")</f>
        <v/>
      </c>
      <c r="K15">
        <f>IFERROR(D15-H15-J15,"")</f>
        <v/>
      </c>
      <c r="L15">
        <f>IFERROR(IF(D15=0,0,K15/D15),"")</f>
        <v/>
      </c>
      <c r="M15">
        <f>IFERROR(IF(E15=0,0,K15/E15),"")</f>
        <v/>
      </c>
      <c r="N15">
        <f>IFERROR(IF(C15=0,0,F15/C15),"")</f>
        <v/>
      </c>
      <c r="O15">
        <f>IFERROR(IF(D15=0,0,H15/D15),"")</f>
        <v/>
      </c>
      <c r="P15">
        <f>IFERROR(IF(L15&lt;0,"Losing money - urgent review",IF(L15&lt;0.2,"Underperforming - check drive time &amp; materials",IF(N15&gt;1.5,"Profitable but route inefficient - optimize","Healthy - top performer"))),"")</f>
        <v/>
      </c>
    </row>
    <row r="16">
      <c r="I16">
        <f>IFERROR(E16+F16,"")</f>
        <v/>
      </c>
      <c r="J16">
        <f>IFERROR(I16*G16,"")</f>
        <v/>
      </c>
      <c r="K16">
        <f>IFERROR(D16-H16-J16,"")</f>
        <v/>
      </c>
      <c r="L16">
        <f>IFERROR(IF(D16=0,0,K16/D16),"")</f>
        <v/>
      </c>
      <c r="M16">
        <f>IFERROR(IF(E16=0,0,K16/E16),"")</f>
        <v/>
      </c>
      <c r="N16">
        <f>IFERROR(IF(C16=0,0,F16/C16),"")</f>
        <v/>
      </c>
      <c r="O16">
        <f>IFERROR(IF(D16=0,0,H16/D16),"")</f>
        <v/>
      </c>
      <c r="P16">
        <f>IFERROR(IF(L16&lt;0,"Losing money - urgent review",IF(L16&lt;0.2,"Underperforming - check drive time &amp; materials",IF(N16&gt;1.5,"Profitable but route inefficient - optimize","Healthy - top performer"))),"")</f>
        <v/>
      </c>
    </row>
    <row r="17">
      <c r="I17">
        <f>IFERROR(E17+F17,"")</f>
        <v/>
      </c>
      <c r="J17">
        <f>IFERROR(I17*G17,"")</f>
        <v/>
      </c>
      <c r="K17">
        <f>IFERROR(D17-H17-J17,"")</f>
        <v/>
      </c>
      <c r="L17">
        <f>IFERROR(IF(D17=0,0,K17/D17),"")</f>
        <v/>
      </c>
      <c r="M17">
        <f>IFERROR(IF(E17=0,0,K17/E17),"")</f>
        <v/>
      </c>
      <c r="N17">
        <f>IFERROR(IF(C17=0,0,F17/C17),"")</f>
        <v/>
      </c>
      <c r="O17">
        <f>IFERROR(IF(D17=0,0,H17/D17),"")</f>
        <v/>
      </c>
      <c r="P17">
        <f>IFERROR(IF(L17&lt;0,"Losing money - urgent review",IF(L17&lt;0.2,"Underperforming - check drive time &amp; materials",IF(N17&gt;1.5,"Profitable but route inefficient - optimize","Healthy - top performer"))),"")</f>
        <v/>
      </c>
    </row>
    <row r="18">
      <c r="I18">
        <f>IFERROR(E18+F18,"")</f>
        <v/>
      </c>
      <c r="J18">
        <f>IFERROR(I18*G18,"")</f>
        <v/>
      </c>
      <c r="K18">
        <f>IFERROR(D18-H18-J18,"")</f>
        <v/>
      </c>
      <c r="L18">
        <f>IFERROR(IF(D18=0,0,K18/D18),"")</f>
        <v/>
      </c>
      <c r="M18">
        <f>IFERROR(IF(E18=0,0,K18/E18),"")</f>
        <v/>
      </c>
      <c r="N18">
        <f>IFERROR(IF(C18=0,0,F18/C18),"")</f>
        <v/>
      </c>
      <c r="O18">
        <f>IFERROR(IF(D18=0,0,H18/D18),"")</f>
        <v/>
      </c>
      <c r="P18">
        <f>IFERROR(IF(L18&lt;0,"Losing money - urgent review",IF(L18&lt;0.2,"Underperforming - check drive time &amp; materials",IF(N18&gt;1.5,"Profitable but route inefficient - optimize","Healthy - top performer"))),"")</f>
        <v/>
      </c>
    </row>
    <row r="19">
      <c r="I19">
        <f>IFERROR(E19+F19,"")</f>
        <v/>
      </c>
      <c r="J19">
        <f>IFERROR(I19*G19,"")</f>
        <v/>
      </c>
      <c r="K19">
        <f>IFERROR(D19-H19-J19,"")</f>
        <v/>
      </c>
      <c r="L19">
        <f>IFERROR(IF(D19=0,0,K19/D19),"")</f>
        <v/>
      </c>
      <c r="M19">
        <f>IFERROR(IF(E19=0,0,K19/E19),"")</f>
        <v/>
      </c>
      <c r="N19">
        <f>IFERROR(IF(C19=0,0,F19/C19),"")</f>
        <v/>
      </c>
      <c r="O19">
        <f>IFERROR(IF(D19=0,0,H19/D19),"")</f>
        <v/>
      </c>
      <c r="P19">
        <f>IFERROR(IF(L19&lt;0,"Losing money - urgent review",IF(L19&lt;0.2,"Underperforming - check drive time &amp; materials",IF(N19&gt;1.5,"Profitable but route inefficient - optimize","Healthy - top performer"))),"")</f>
        <v/>
      </c>
    </row>
    <row r="20">
      <c r="I20">
        <f>IFERROR(E20+F20,"")</f>
        <v/>
      </c>
      <c r="J20">
        <f>IFERROR(I20*G20,"")</f>
        <v/>
      </c>
      <c r="K20">
        <f>IFERROR(D20-H20-J20,"")</f>
        <v/>
      </c>
      <c r="L20">
        <f>IFERROR(IF(D20=0,0,K20/D20),"")</f>
        <v/>
      </c>
      <c r="M20">
        <f>IFERROR(IF(E20=0,0,K20/E20),"")</f>
        <v/>
      </c>
      <c r="N20">
        <f>IFERROR(IF(C20=0,0,F20/C20),"")</f>
        <v/>
      </c>
      <c r="O20">
        <f>IFERROR(IF(D20=0,0,H20/D20),"")</f>
        <v/>
      </c>
      <c r="P20">
        <f>IFERROR(IF(L20&lt;0,"Losing money - urgent review",IF(L20&lt;0.2,"Underperforming - check drive time &amp; materials",IF(N20&gt;1.5,"Profitable but route inefficient - optimize","Healthy - top performer"))),"")</f>
        <v/>
      </c>
    </row>
    <row r="21">
      <c r="I21">
        <f>IFERROR(E21+F21,"")</f>
        <v/>
      </c>
      <c r="J21">
        <f>IFERROR(I21*G21,"")</f>
        <v/>
      </c>
      <c r="K21">
        <f>IFERROR(D21-H21-J21,"")</f>
        <v/>
      </c>
      <c r="L21">
        <f>IFERROR(IF(D21=0,0,K21/D21),"")</f>
        <v/>
      </c>
      <c r="M21">
        <f>IFERROR(IF(E21=0,0,K21/E21),"")</f>
        <v/>
      </c>
      <c r="N21">
        <f>IFERROR(IF(C21=0,0,F21/C21),"")</f>
        <v/>
      </c>
      <c r="O21">
        <f>IFERROR(IF(D21=0,0,H21/D21),"")</f>
        <v/>
      </c>
      <c r="P21">
        <f>IFERROR(IF(L21&lt;0,"Losing money - urgent review",IF(L21&lt;0.2,"Underperforming - check drive time &amp; materials",IF(N21&gt;1.5,"Profitable but route inefficient - optimize","Healthy - top performer"))),"")</f>
        <v/>
      </c>
    </row>
    <row r="22">
      <c r="I22">
        <f>IFERROR(E22+F22,"")</f>
        <v/>
      </c>
      <c r="J22">
        <f>IFERROR(I22*G22,"")</f>
        <v/>
      </c>
      <c r="K22">
        <f>IFERROR(D22-H22-J22,"")</f>
        <v/>
      </c>
      <c r="L22">
        <f>IFERROR(IF(D22=0,0,K22/D22),"")</f>
        <v/>
      </c>
      <c r="M22">
        <f>IFERROR(IF(E22=0,0,K22/E22),"")</f>
        <v/>
      </c>
      <c r="N22">
        <f>IFERROR(IF(C22=0,0,F22/C22),"")</f>
        <v/>
      </c>
      <c r="O22">
        <f>IFERROR(IF(D22=0,0,H22/D22),"")</f>
        <v/>
      </c>
      <c r="P22">
        <f>IFERROR(IF(L22&lt;0,"Losing money - urgent review",IF(L22&lt;0.2,"Underperforming - check drive time &amp; materials",IF(N22&gt;1.5,"Profitable but route inefficient - optimize","Healthy - top performer"))),"")</f>
        <v/>
      </c>
    </row>
    <row r="23">
      <c r="I23">
        <f>IFERROR(E23+F23,"")</f>
        <v/>
      </c>
      <c r="J23">
        <f>IFERROR(I23*G23,"")</f>
        <v/>
      </c>
      <c r="K23">
        <f>IFERROR(D23-H23-J23,"")</f>
        <v/>
      </c>
      <c r="L23">
        <f>IFERROR(IF(D23=0,0,K23/D23),"")</f>
        <v/>
      </c>
      <c r="M23">
        <f>IFERROR(IF(E23=0,0,K23/E23),"")</f>
        <v/>
      </c>
      <c r="N23">
        <f>IFERROR(IF(C23=0,0,F23/C23),"")</f>
        <v/>
      </c>
      <c r="O23">
        <f>IFERROR(IF(D23=0,0,H23/D23),"")</f>
        <v/>
      </c>
      <c r="P23">
        <f>IFERROR(IF(L23&lt;0,"Losing money - urgent review",IF(L23&lt;0.2,"Underperforming - check drive time &amp; materials",IF(N23&gt;1.5,"Profitable but route inefficient - optimize","Healthy - top performer"))),"")</f>
        <v/>
      </c>
    </row>
    <row r="24">
      <c r="I24">
        <f>IFERROR(E24+F24,"")</f>
        <v/>
      </c>
      <c r="J24">
        <f>IFERROR(I24*G24,"")</f>
        <v/>
      </c>
      <c r="K24">
        <f>IFERROR(D24-H24-J24,"")</f>
        <v/>
      </c>
      <c r="L24">
        <f>IFERROR(IF(D24=0,0,K24/D24),"")</f>
        <v/>
      </c>
      <c r="M24">
        <f>IFERROR(IF(E24=0,0,K24/E24),"")</f>
        <v/>
      </c>
      <c r="N24">
        <f>IFERROR(IF(C24=0,0,F24/C24),"")</f>
        <v/>
      </c>
      <c r="O24">
        <f>IFERROR(IF(D24=0,0,H24/D24),"")</f>
        <v/>
      </c>
      <c r="P24">
        <f>IFERROR(IF(L24&lt;0,"Losing money - urgent review",IF(L24&lt;0.2,"Underperforming - check drive time &amp; materials",IF(N24&gt;1.5,"Profitable but route inefficient - optimize","Healthy - top performer"))),"")</f>
        <v/>
      </c>
    </row>
    <row r="25">
      <c r="I25">
        <f>IFERROR(E25+F25,"")</f>
        <v/>
      </c>
      <c r="J25">
        <f>IFERROR(I25*G25,"")</f>
        <v/>
      </c>
      <c r="K25">
        <f>IFERROR(D25-H25-J25,"")</f>
        <v/>
      </c>
      <c r="L25">
        <f>IFERROR(IF(D25=0,0,K25/D25),"")</f>
        <v/>
      </c>
      <c r="M25">
        <f>IFERROR(IF(E25=0,0,K25/E25),"")</f>
        <v/>
      </c>
      <c r="N25">
        <f>IFERROR(IF(C25=0,0,F25/C25),"")</f>
        <v/>
      </c>
      <c r="O25">
        <f>IFERROR(IF(D25=0,0,H25/D25),"")</f>
        <v/>
      </c>
      <c r="P25">
        <f>IFERROR(IF(L25&lt;0,"Losing money - urgent review",IF(L25&lt;0.2,"Underperforming - check drive time &amp; materials",IF(N25&gt;1.5,"Profitable but route inefficient - optimize","Healthy - top performer"))),"")</f>
        <v/>
      </c>
    </row>
  </sheetData>
  <mergeCells count="1">
    <mergeCell ref="A1:P3"/>
  </mergeCells>
  <conditionalFormatting sqref="L6:L25">
    <cfRule type="cellIs" priority="1" operator="lessThan" dxfId="0">
      <formula>0.2</formula>
    </cfRule>
    <cfRule type="cellIs" priority="2" operator="lessThan" dxfId="1">
      <formula>0</formula>
    </cfRule>
    <cfRule type="cellIs" priority="3" operator="greaterThan" dxfId="2">
      <formula>0.35</formula>
    </cfRule>
  </conditionalFormatting>
  <conditionalFormatting sqref="O6:O25">
    <cfRule type="cellIs" priority="4" operator="greaterThan" dxfId="1">
      <formula>0.3</formula>
    </cfRule>
  </conditionalFormatting>
  <conditionalFormatting sqref="N6:N25">
    <cfRule type="cellIs" priority="5" operator="greaterThan" dxfId="0">
      <formula>1.5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8" customWidth="1" min="5" max="5"/>
    <col width="18" customWidth="1" min="6" max="6"/>
    <col width="23" customWidth="1" min="7" max="7"/>
    <col width="20" customWidth="1" min="8" max="8"/>
    <col width="22" customWidth="1" min="9" max="9"/>
    <col width="18" customWidth="1" min="10" max="10"/>
    <col width="19" customWidth="1" min="11" max="11"/>
    <col width="16" customWidth="1" min="12" max="12"/>
    <col width="21" customWidth="1" min="13" max="13"/>
  </cols>
  <sheetData>
    <row r="1">
      <c r="A1" s="1" t="inlineStr">
        <is>
          <t>AI INSIGHT SUMMARY:
Crew 2 generated $2,340 gross profit this week vs. Crew 1 at $1,610 — a 45% gap driven by 2.1 fewer drive hours per job and 18% lower materials waste. Crew 1 is your priority review this week: route optimization could recover an estimated $730 in weekly profit. Truck 3 repair costs have reached $8,200 this year against a $6,400 annual lease equivalent — replacement is now economically justified. Across all routes, the Tuesday North loop is your only unprofitable route at -$140/week and should be re-priced or cut.</t>
        </is>
      </c>
    </row>
    <row r="2"/>
    <row r="3"/>
    <row r="4"/>
    <row r="5">
      <c r="A5" s="2" t="inlineStr">
        <is>
          <t>Truck ID</t>
        </is>
      </c>
      <c r="B5" s="2" t="inlineStr">
        <is>
          <t>Year</t>
        </is>
      </c>
      <c r="C5" s="2" t="inlineStr">
        <is>
          <t>Annual Mileage</t>
        </is>
      </c>
      <c r="D5" s="2" t="inlineStr">
        <is>
          <t>Annual Repair Cost</t>
        </is>
      </c>
      <c r="E5" s="2" t="inlineStr">
        <is>
          <t>Annual Fuel Cost</t>
        </is>
      </c>
      <c r="F5" s="2" t="inlineStr">
        <is>
          <t>Annual Insurance</t>
        </is>
      </c>
      <c r="G5" s="2" t="inlineStr">
        <is>
          <t>Lease Equivalent Cost</t>
        </is>
      </c>
      <c r="H5" s="2" t="inlineStr">
        <is>
          <t>Revenue Attributed</t>
        </is>
      </c>
      <c r="I5" s="2" t="inlineStr">
        <is>
          <t>Total Operating Cost</t>
        </is>
      </c>
      <c r="J5" s="2" t="inlineStr">
        <is>
          <t>Net Contribution</t>
        </is>
      </c>
      <c r="K5" s="2" t="inlineStr">
        <is>
          <t>Repair Cost Ratio</t>
        </is>
      </c>
      <c r="L5" s="2" t="inlineStr">
        <is>
          <t>Cost Per Mile</t>
        </is>
      </c>
      <c r="M5" s="2" t="inlineStr">
        <is>
          <t>Replacement Verdict</t>
        </is>
      </c>
    </row>
    <row r="6">
      <c r="A6" t="inlineStr">
        <is>
          <t>Truck 1</t>
        </is>
      </c>
      <c r="B6" t="n">
        <v>2021</v>
      </c>
      <c r="C6" t="n">
        <v>28000</v>
      </c>
      <c r="D6" t="n">
        <v>2100</v>
      </c>
      <c r="E6" t="n">
        <v>4200</v>
      </c>
      <c r="F6" t="n">
        <v>1800</v>
      </c>
      <c r="G6" t="n">
        <v>6400</v>
      </c>
      <c r="H6" t="n">
        <v>64000</v>
      </c>
      <c r="I6">
        <f>IFERROR(D6+E6+F6,"")</f>
        <v/>
      </c>
      <c r="J6">
        <f>IFERROR(H6-I6,"")</f>
        <v/>
      </c>
      <c r="K6">
        <f>IFERROR(IF(G6=0,0,D6/G6),"")</f>
        <v/>
      </c>
      <c r="L6">
        <f>IFERROR(IF(C6=0,0,I6/C6),"")</f>
        <v/>
      </c>
      <c r="M6">
        <f>IFERROR(IF(J6&lt;0,"Replace now - truck loses money",IF(K6&gt;1,"Replace - repairs exceed lease economics",IF(K6&gt;0.7,"Watch - approaching replacement threshold","Keep - still economical"))),"")</f>
        <v/>
      </c>
    </row>
    <row r="7">
      <c r="A7" t="inlineStr">
        <is>
          <t>Truck 2</t>
        </is>
      </c>
      <c r="B7" t="n">
        <v>2019</v>
      </c>
      <c r="C7" t="n">
        <v>35000</v>
      </c>
      <c r="D7" t="n">
        <v>4800</v>
      </c>
      <c r="E7" t="n">
        <v>5100</v>
      </c>
      <c r="F7" t="n">
        <v>1900</v>
      </c>
      <c r="G7" t="n">
        <v>6400</v>
      </c>
      <c r="H7" t="n">
        <v>58000</v>
      </c>
      <c r="I7">
        <f>IFERROR(D7+E7+F7,"")</f>
        <v/>
      </c>
      <c r="J7">
        <f>IFERROR(H7-I7,"")</f>
        <v/>
      </c>
      <c r="K7">
        <f>IFERROR(IF(G7=0,0,D7/G7),"")</f>
        <v/>
      </c>
      <c r="L7">
        <f>IFERROR(IF(C7=0,0,I7/C7),"")</f>
        <v/>
      </c>
      <c r="M7">
        <f>IFERROR(IF(J7&lt;0,"Replace now - truck loses money",IF(K7&gt;1,"Replace - repairs exceed lease economics",IF(K7&gt;0.7,"Watch - approaching replacement threshold","Keep - still economical"))),"")</f>
        <v/>
      </c>
    </row>
    <row r="8">
      <c r="A8" t="inlineStr">
        <is>
          <t>Truck 3</t>
        </is>
      </c>
      <c r="B8" t="n">
        <v>2016</v>
      </c>
      <c r="C8" t="n">
        <v>41000</v>
      </c>
      <c r="D8" t="n">
        <v>8200</v>
      </c>
      <c r="E8" t="n">
        <v>6000</v>
      </c>
      <c r="F8" t="n">
        <v>2200</v>
      </c>
      <c r="G8" t="n">
        <v>6400</v>
      </c>
      <c r="H8" t="n">
        <v>52000</v>
      </c>
      <c r="I8">
        <f>IFERROR(D8+E8+F8,"")</f>
        <v/>
      </c>
      <c r="J8">
        <f>IFERROR(H8-I8,"")</f>
        <v/>
      </c>
      <c r="K8">
        <f>IFERROR(IF(G8=0,0,D8/G8),"")</f>
        <v/>
      </c>
      <c r="L8">
        <f>IFERROR(IF(C8=0,0,I8/C8),"")</f>
        <v/>
      </c>
      <c r="M8">
        <f>IFERROR(IF(J8&lt;0,"Replace now - truck loses money",IF(K8&gt;1,"Replace - repairs exceed lease economics",IF(K8&gt;0.7,"Watch - approaching replacement threshold","Keep - still economical"))),"")</f>
        <v/>
      </c>
    </row>
    <row r="9">
      <c r="A9" t="inlineStr">
        <is>
          <t>Truck 4</t>
        </is>
      </c>
      <c r="B9" t="n">
        <v>2015</v>
      </c>
      <c r="C9" t="n">
        <v>38000</v>
      </c>
      <c r="D9" t="n">
        <v>9500</v>
      </c>
      <c r="E9" t="n">
        <v>6400</v>
      </c>
      <c r="F9" t="n">
        <v>2400</v>
      </c>
      <c r="G9" t="n">
        <v>6400</v>
      </c>
      <c r="H9" t="n">
        <v>16000</v>
      </c>
      <c r="I9">
        <f>IFERROR(D9+E9+F9,"")</f>
        <v/>
      </c>
      <c r="J9">
        <f>IFERROR(H9-I9,"")</f>
        <v/>
      </c>
      <c r="K9">
        <f>IFERROR(IF(G9=0,0,D9/G9),"")</f>
        <v/>
      </c>
      <c r="L9">
        <f>IFERROR(IF(C9=0,0,I9/C9),"")</f>
        <v/>
      </c>
      <c r="M9">
        <f>IFERROR(IF(J9&lt;0,"Replace now - truck loses money",IF(K9&gt;1,"Replace - repairs exceed lease economics",IF(K9&gt;0.7,"Watch - approaching replacement threshold","Keep - still economical"))),"")</f>
        <v/>
      </c>
    </row>
    <row r="10">
      <c r="A10" t="inlineStr">
        <is>
          <t>Truck 5</t>
        </is>
      </c>
      <c r="B10" t="n">
        <v>2022</v>
      </c>
      <c r="C10" t="n">
        <v>22000</v>
      </c>
      <c r="D10" t="n">
        <v>1200</v>
      </c>
      <c r="E10" t="n">
        <v>3600</v>
      </c>
      <c r="F10" t="n">
        <v>1700</v>
      </c>
      <c r="G10" t="n">
        <v>6400</v>
      </c>
      <c r="H10" t="n">
        <v>61000</v>
      </c>
      <c r="I10">
        <f>IFERROR(D10+E10+F10,"")</f>
        <v/>
      </c>
      <c r="J10">
        <f>IFERROR(H10-I10,"")</f>
        <v/>
      </c>
      <c r="K10">
        <f>IFERROR(IF(G10=0,0,D10/G10),"")</f>
        <v/>
      </c>
      <c r="L10">
        <f>IFERROR(IF(C10=0,0,I10/C10),"")</f>
        <v/>
      </c>
      <c r="M10">
        <f>IFERROR(IF(J10&lt;0,"Replace now - truck loses money",IF(K10&gt;1,"Replace - repairs exceed lease economics",IF(K10&gt;0.7,"Watch - approaching replacement threshold","Keep - still economical"))),"")</f>
        <v/>
      </c>
    </row>
    <row r="11">
      <c r="I11">
        <f>IFERROR(D11+E11+F11,"")</f>
        <v/>
      </c>
      <c r="J11">
        <f>IFERROR(H11-I11,"")</f>
        <v/>
      </c>
      <c r="K11">
        <f>IFERROR(IF(G11=0,0,D11/G11),"")</f>
        <v/>
      </c>
      <c r="L11">
        <f>IFERROR(IF(C11=0,0,I11/C11),"")</f>
        <v/>
      </c>
      <c r="M11">
        <f>IFERROR(IF(J11&lt;0,"Replace now - truck loses money",IF(K11&gt;1,"Replace - repairs exceed lease economics",IF(K11&gt;0.7,"Watch - approaching replacement threshold","Keep - still economical"))),"")</f>
        <v/>
      </c>
    </row>
    <row r="12">
      <c r="I12">
        <f>IFERROR(D12+E12+F12,"")</f>
        <v/>
      </c>
      <c r="J12">
        <f>IFERROR(H12-I12,"")</f>
        <v/>
      </c>
      <c r="K12">
        <f>IFERROR(IF(G12=0,0,D12/G12),"")</f>
        <v/>
      </c>
      <c r="L12">
        <f>IFERROR(IF(C12=0,0,I12/C12),"")</f>
        <v/>
      </c>
      <c r="M12">
        <f>IFERROR(IF(J12&lt;0,"Replace now - truck loses money",IF(K12&gt;1,"Replace - repairs exceed lease economics",IF(K12&gt;0.7,"Watch - approaching replacement threshold","Keep - still economical"))),"")</f>
        <v/>
      </c>
    </row>
    <row r="13">
      <c r="I13">
        <f>IFERROR(D13+E13+F13,"")</f>
        <v/>
      </c>
      <c r="J13">
        <f>IFERROR(H13-I13,"")</f>
        <v/>
      </c>
      <c r="K13">
        <f>IFERROR(IF(G13=0,0,D13/G13),"")</f>
        <v/>
      </c>
      <c r="L13">
        <f>IFERROR(IF(C13=0,0,I13/C13),"")</f>
        <v/>
      </c>
      <c r="M13">
        <f>IFERROR(IF(J13&lt;0,"Replace now - truck loses money",IF(K13&gt;1,"Replace - repairs exceed lease economics",IF(K13&gt;0.7,"Watch - approaching replacement threshold","Keep - still economical"))),"")</f>
        <v/>
      </c>
    </row>
    <row r="14">
      <c r="I14">
        <f>IFERROR(D14+E14+F14,"")</f>
        <v/>
      </c>
      <c r="J14">
        <f>IFERROR(H14-I14,"")</f>
        <v/>
      </c>
      <c r="K14">
        <f>IFERROR(IF(G14=0,0,D14/G14),"")</f>
        <v/>
      </c>
      <c r="L14">
        <f>IFERROR(IF(C14=0,0,I14/C14),"")</f>
        <v/>
      </c>
      <c r="M14">
        <f>IFERROR(IF(J14&lt;0,"Replace now - truck loses money",IF(K14&gt;1,"Replace - repairs exceed lease economics",IF(K14&gt;0.7,"Watch - approaching replacement threshold","Keep - still economical"))),"")</f>
        <v/>
      </c>
    </row>
    <row r="15">
      <c r="I15">
        <f>IFERROR(D15+E15+F15,"")</f>
        <v/>
      </c>
      <c r="J15">
        <f>IFERROR(H15-I15,"")</f>
        <v/>
      </c>
      <c r="K15">
        <f>IFERROR(IF(G15=0,0,D15/G15),"")</f>
        <v/>
      </c>
      <c r="L15">
        <f>IFERROR(IF(C15=0,0,I15/C15),"")</f>
        <v/>
      </c>
      <c r="M15">
        <f>IFERROR(IF(J15&lt;0,"Replace now - truck loses money",IF(K15&gt;1,"Replace - repairs exceed lease economics",IF(K15&gt;0.7,"Watch - approaching replacement threshold","Keep - still economical"))),"")</f>
        <v/>
      </c>
    </row>
    <row r="16">
      <c r="I16">
        <f>IFERROR(D16+E16+F16,"")</f>
        <v/>
      </c>
      <c r="J16">
        <f>IFERROR(H16-I16,"")</f>
        <v/>
      </c>
      <c r="K16">
        <f>IFERROR(IF(G16=0,0,D16/G16),"")</f>
        <v/>
      </c>
      <c r="L16">
        <f>IFERROR(IF(C16=0,0,I16/C16),"")</f>
        <v/>
      </c>
      <c r="M16">
        <f>IFERROR(IF(J16&lt;0,"Replace now - truck loses money",IF(K16&gt;1,"Replace - repairs exceed lease economics",IF(K16&gt;0.7,"Watch - approaching replacement threshold","Keep - still economical"))),"")</f>
        <v/>
      </c>
    </row>
    <row r="17">
      <c r="I17">
        <f>IFERROR(D17+E17+F17,"")</f>
        <v/>
      </c>
      <c r="J17">
        <f>IFERROR(H17-I17,"")</f>
        <v/>
      </c>
      <c r="K17">
        <f>IFERROR(IF(G17=0,0,D17/G17),"")</f>
        <v/>
      </c>
      <c r="L17">
        <f>IFERROR(IF(C17=0,0,I17/C17),"")</f>
        <v/>
      </c>
      <c r="M17">
        <f>IFERROR(IF(J17&lt;0,"Replace now - truck loses money",IF(K17&gt;1,"Replace - repairs exceed lease economics",IF(K17&gt;0.7,"Watch - approaching replacement threshold","Keep - still economical"))),"")</f>
        <v/>
      </c>
    </row>
    <row r="18">
      <c r="I18">
        <f>IFERROR(D18+E18+F18,"")</f>
        <v/>
      </c>
      <c r="J18">
        <f>IFERROR(H18-I18,"")</f>
        <v/>
      </c>
      <c r="K18">
        <f>IFERROR(IF(G18=0,0,D18/G18),"")</f>
        <v/>
      </c>
      <c r="L18">
        <f>IFERROR(IF(C18=0,0,I18/C18),"")</f>
        <v/>
      </c>
      <c r="M18">
        <f>IFERROR(IF(J18&lt;0,"Replace now - truck loses money",IF(K18&gt;1,"Replace - repairs exceed lease economics",IF(K18&gt;0.7,"Watch - approaching replacement threshold","Keep - still economical"))),"")</f>
        <v/>
      </c>
    </row>
    <row r="19">
      <c r="I19">
        <f>IFERROR(D19+E19+F19,"")</f>
        <v/>
      </c>
      <c r="J19">
        <f>IFERROR(H19-I19,"")</f>
        <v/>
      </c>
      <c r="K19">
        <f>IFERROR(IF(G19=0,0,D19/G19),"")</f>
        <v/>
      </c>
      <c r="L19">
        <f>IFERROR(IF(C19=0,0,I19/C19),"")</f>
        <v/>
      </c>
      <c r="M19">
        <f>IFERROR(IF(J19&lt;0,"Replace now - truck loses money",IF(K19&gt;1,"Replace - repairs exceed lease economics",IF(K19&gt;0.7,"Watch - approaching replacement threshold","Keep - still economical"))),"")</f>
        <v/>
      </c>
    </row>
    <row r="20">
      <c r="I20">
        <f>IFERROR(D20+E20+F20,"")</f>
        <v/>
      </c>
      <c r="J20">
        <f>IFERROR(H20-I20,"")</f>
        <v/>
      </c>
      <c r="K20">
        <f>IFERROR(IF(G20=0,0,D20/G20),"")</f>
        <v/>
      </c>
      <c r="L20">
        <f>IFERROR(IF(C20=0,0,I20/C20),"")</f>
        <v/>
      </c>
      <c r="M20">
        <f>IFERROR(IF(J20&lt;0,"Replace now - truck loses money",IF(K20&gt;1,"Replace - repairs exceed lease economics",IF(K20&gt;0.7,"Watch - approaching replacement threshold","Keep - still economical"))),"")</f>
        <v/>
      </c>
    </row>
    <row r="21">
      <c r="I21">
        <f>IFERROR(D21+E21+F21,"")</f>
        <v/>
      </c>
      <c r="J21">
        <f>IFERROR(H21-I21,"")</f>
        <v/>
      </c>
      <c r="K21">
        <f>IFERROR(IF(G21=0,0,D21/G21),"")</f>
        <v/>
      </c>
      <c r="L21">
        <f>IFERROR(IF(C21=0,0,I21/C21),"")</f>
        <v/>
      </c>
      <c r="M21">
        <f>IFERROR(IF(J21&lt;0,"Replace now - truck loses money",IF(K21&gt;1,"Replace - repairs exceed lease economics",IF(K21&gt;0.7,"Watch - approaching replacement threshold","Keep - still economical"))),"")</f>
        <v/>
      </c>
    </row>
    <row r="22">
      <c r="I22">
        <f>IFERROR(D22+E22+F22,"")</f>
        <v/>
      </c>
      <c r="J22">
        <f>IFERROR(H22-I22,"")</f>
        <v/>
      </c>
      <c r="K22">
        <f>IFERROR(IF(G22=0,0,D22/G22),"")</f>
        <v/>
      </c>
      <c r="L22">
        <f>IFERROR(IF(C22=0,0,I22/C22),"")</f>
        <v/>
      </c>
      <c r="M22">
        <f>IFERROR(IF(J22&lt;0,"Replace now - truck loses money",IF(K22&gt;1,"Replace - repairs exceed lease economics",IF(K22&gt;0.7,"Watch - approaching replacement threshold","Keep - still economical"))),"")</f>
        <v/>
      </c>
    </row>
    <row r="23">
      <c r="I23">
        <f>IFERROR(D23+E23+F23,"")</f>
        <v/>
      </c>
      <c r="J23">
        <f>IFERROR(H23-I23,"")</f>
        <v/>
      </c>
      <c r="K23">
        <f>IFERROR(IF(G23=0,0,D23/G23),"")</f>
        <v/>
      </c>
      <c r="L23">
        <f>IFERROR(IF(C23=0,0,I23/C23),"")</f>
        <v/>
      </c>
      <c r="M23">
        <f>IFERROR(IF(J23&lt;0,"Replace now - truck loses money",IF(K23&gt;1,"Replace - repairs exceed lease economics",IF(K23&gt;0.7,"Watch - approaching replacement threshold","Keep - still economical"))),"")</f>
        <v/>
      </c>
    </row>
    <row r="24">
      <c r="I24">
        <f>IFERROR(D24+E24+F24,"")</f>
        <v/>
      </c>
      <c r="J24">
        <f>IFERROR(H24-I24,"")</f>
        <v/>
      </c>
      <c r="K24">
        <f>IFERROR(IF(G24=0,0,D24/G24),"")</f>
        <v/>
      </c>
      <c r="L24">
        <f>IFERROR(IF(C24=0,0,I24/C24),"")</f>
        <v/>
      </c>
      <c r="M24">
        <f>IFERROR(IF(J24&lt;0,"Replace now - truck loses money",IF(K24&gt;1,"Replace - repairs exceed lease economics",IF(K24&gt;0.7,"Watch - approaching replacement threshold","Keep - still economical"))),"")</f>
        <v/>
      </c>
    </row>
    <row r="25">
      <c r="I25">
        <f>IFERROR(D25+E25+F25,"")</f>
        <v/>
      </c>
      <c r="J25">
        <f>IFERROR(H25-I25,"")</f>
        <v/>
      </c>
      <c r="K25">
        <f>IFERROR(IF(G25=0,0,D25/G25),"")</f>
        <v/>
      </c>
      <c r="L25">
        <f>IFERROR(IF(C25=0,0,I25/C25),"")</f>
        <v/>
      </c>
      <c r="M25">
        <f>IFERROR(IF(J25&lt;0,"Replace now - truck loses money",IF(K25&gt;1,"Replace - repairs exceed lease economics",IF(K25&gt;0.7,"Watch - approaching replacement threshold","Keep - still economical"))),"")</f>
        <v/>
      </c>
    </row>
  </sheetData>
  <mergeCells count="1">
    <mergeCell ref="A1:M3"/>
  </mergeCells>
  <conditionalFormatting sqref="K6:K25">
    <cfRule type="cellIs" priority="1" operator="greaterThan" dxfId="1">
      <formula>1</formula>
    </cfRule>
    <cfRule type="cellIs" priority="2" operator="greaterThan" dxfId="0">
      <formula>0.7</formula>
    </cfRule>
  </conditionalFormatting>
  <conditionalFormatting sqref="J6:J25">
    <cfRule type="cellIs" priority="3" operator="lessThan" dxfId="1">
      <formula>0</formula>
    </cfRule>
  </conditionalFormatting>
  <conditionalFormatting sqref="L6:L25">
    <cfRule type="cellIs" priority="4" operator="greaterThan" dxfId="0">
      <formula>0.75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8" customWidth="1" min="9" max="9"/>
    <col width="16" customWidth="1" min="10" max="10"/>
    <col width="17" customWidth="1" min="11" max="11"/>
    <col width="18" customWidth="1" min="12" max="12"/>
    <col width="16" customWidth="1" min="13" max="13"/>
  </cols>
  <sheetData>
    <row r="1">
      <c r="A1" s="1" t="inlineStr">
        <is>
          <t>AI INSIGHT SUMMARY:
Crew 2 generated $2,340 gross profit this week vs. Crew 1 at $1,610 — a 45% gap driven by 2.1 fewer drive hours per job and 18% lower materials waste. Crew 1 is your priority review this week: route optimization could recover an estimated $730 in weekly profit. Truck 3 repair costs have reached $8,200 this year against a $6,400 annual lease equivalent — replacement is now economically justified. Across all routes, the Tuesday North loop is your only unprofitable route at -$140/week and should be re-priced or cut.</t>
        </is>
      </c>
    </row>
    <row r="2"/>
    <row r="3"/>
    <row r="4"/>
    <row r="5">
      <c r="A5" s="2" t="inlineStr">
        <is>
          <t>Route Name</t>
        </is>
      </c>
      <c r="B5" s="2" t="inlineStr">
        <is>
          <t>Day</t>
        </is>
      </c>
      <c r="C5" s="2" t="inlineStr">
        <is>
          <t>Stops</t>
        </is>
      </c>
      <c r="D5" s="2" t="inlineStr">
        <is>
          <t>Revenue</t>
        </is>
      </c>
      <c r="E5" s="2" t="inlineStr">
        <is>
          <t>Drive Hours</t>
        </is>
      </c>
      <c r="F5" s="2" t="inlineStr">
        <is>
          <t>Service Hours</t>
        </is>
      </c>
      <c r="G5" s="2" t="inlineStr">
        <is>
          <t>Labor Rate</t>
        </is>
      </c>
      <c r="H5" s="2" t="inlineStr">
        <is>
          <t>Fuel Cost</t>
        </is>
      </c>
      <c r="I5" s="2" t="inlineStr">
        <is>
          <t>Total Labor Cost</t>
        </is>
      </c>
      <c r="J5" s="2" t="inlineStr">
        <is>
          <t>Route Profit</t>
        </is>
      </c>
      <c r="K5" s="2" t="inlineStr">
        <is>
          <t>Profit Per Stop</t>
        </is>
      </c>
      <c r="L5" s="2" t="inlineStr">
        <is>
          <t>Revenue Per Hour</t>
        </is>
      </c>
      <c r="M5" s="2" t="inlineStr">
        <is>
          <t>Route Verdict</t>
        </is>
      </c>
    </row>
    <row r="6">
      <c r="A6" t="inlineStr">
        <is>
          <t>North Loop</t>
        </is>
      </c>
      <c r="B6" t="inlineStr">
        <is>
          <t>Tuesday</t>
        </is>
      </c>
      <c r="C6" t="n">
        <v>6</v>
      </c>
      <c r="D6" t="n">
        <v>720</v>
      </c>
      <c r="E6" t="n">
        <v>3.5</v>
      </c>
      <c r="F6" t="n">
        <v>5</v>
      </c>
      <c r="G6" t="n">
        <v>38</v>
      </c>
      <c r="H6" t="n">
        <v>60</v>
      </c>
      <c r="I6">
        <f>IFERROR((E6+F6)*G6,"")</f>
        <v/>
      </c>
      <c r="J6">
        <f>IFERROR(D6-I6-H6,"")</f>
        <v/>
      </c>
      <c r="K6">
        <f>IFERROR(IF(C6=0,0,J6/C6),"")</f>
        <v/>
      </c>
      <c r="L6">
        <f>IFERROR(IF((E6+F6)=0,0,D6/(E6+F6)),"")</f>
        <v/>
      </c>
      <c r="M6">
        <f>IFERROR(IF(J6&lt;0,"Cut or re-price - losing money",IF(K6&lt;25,"Marginal - raise prices or densify stops",IF(L6&gt;120,"Keep - high value route","Keep - acceptable"))),"")</f>
        <v/>
      </c>
    </row>
    <row r="7">
      <c r="A7" t="inlineStr">
        <is>
          <t>South Suburbs</t>
        </is>
      </c>
      <c r="B7" t="inlineStr">
        <is>
          <t>Wednesday</t>
        </is>
      </c>
      <c r="C7" t="n">
        <v>9</v>
      </c>
      <c r="D7" t="n">
        <v>1480</v>
      </c>
      <c r="E7" t="n">
        <v>2</v>
      </c>
      <c r="F7" t="n">
        <v>7.5</v>
      </c>
      <c r="G7" t="n">
        <v>38</v>
      </c>
      <c r="H7" t="n">
        <v>45</v>
      </c>
      <c r="I7">
        <f>IFERROR((E7+F7)*G7,"")</f>
        <v/>
      </c>
      <c r="J7">
        <f>IFERROR(D7-I7-H7,"")</f>
        <v/>
      </c>
      <c r="K7">
        <f>IFERROR(IF(C7=0,0,J7/C7),"")</f>
        <v/>
      </c>
      <c r="L7">
        <f>IFERROR(IF((E7+F7)=0,0,D7/(E7+F7)),"")</f>
        <v/>
      </c>
      <c r="M7">
        <f>IFERROR(IF(J7&lt;0,"Cut or re-price - losing money",IF(K7&lt;25,"Marginal - raise prices or densify stops",IF(L7&gt;120,"Keep - high value route","Keep - acceptable"))),"")</f>
        <v/>
      </c>
    </row>
    <row r="8">
      <c r="A8" t="inlineStr">
        <is>
          <t>Downtown Core</t>
        </is>
      </c>
      <c r="B8" t="inlineStr">
        <is>
          <t>Thursday</t>
        </is>
      </c>
      <c r="C8" t="n">
        <v>12</v>
      </c>
      <c r="D8" t="n">
        <v>1320</v>
      </c>
      <c r="E8" t="n">
        <v>1.5</v>
      </c>
      <c r="F8" t="n">
        <v>8</v>
      </c>
      <c r="G8" t="n">
        <v>38</v>
      </c>
      <c r="H8" t="n">
        <v>30</v>
      </c>
      <c r="I8">
        <f>IFERROR((E8+F8)*G8,"")</f>
        <v/>
      </c>
      <c r="J8">
        <f>IFERROR(D8-I8-H8,"")</f>
        <v/>
      </c>
      <c r="K8">
        <f>IFERROR(IF(C8=0,0,J8/C8),"")</f>
        <v/>
      </c>
      <c r="L8">
        <f>IFERROR(IF((E8+F8)=0,0,D8/(E8+F8)),"")</f>
        <v/>
      </c>
      <c r="M8">
        <f>IFERROR(IF(J8&lt;0,"Cut or re-price - losing money",IF(K8&lt;25,"Marginal - raise prices or densify stops",IF(L8&gt;120,"Keep - high value route","Keep - acceptable"))),"")</f>
        <v/>
      </c>
    </row>
    <row r="9">
      <c r="A9" t="inlineStr">
        <is>
          <t>West Rural</t>
        </is>
      </c>
      <c r="B9" t="inlineStr">
        <is>
          <t>Friday</t>
        </is>
      </c>
      <c r="C9" t="n">
        <v>5</v>
      </c>
      <c r="D9" t="n">
        <v>900</v>
      </c>
      <c r="E9" t="n">
        <v>4</v>
      </c>
      <c r="F9" t="n">
        <v>4.5</v>
      </c>
      <c r="G9" t="n">
        <v>38</v>
      </c>
      <c r="H9" t="n">
        <v>70</v>
      </c>
      <c r="I9">
        <f>IFERROR((E9+F9)*G9,"")</f>
        <v/>
      </c>
      <c r="J9">
        <f>IFERROR(D9-I9-H9,"")</f>
        <v/>
      </c>
      <c r="K9">
        <f>IFERROR(IF(C9=0,0,J9/C9),"")</f>
        <v/>
      </c>
      <c r="L9">
        <f>IFERROR(IF((E9+F9)=0,0,D9/(E9+F9)),"")</f>
        <v/>
      </c>
      <c r="M9">
        <f>IFERROR(IF(J9&lt;0,"Cut or re-price - losing money",IF(K9&lt;25,"Marginal - raise prices or densify stops",IF(L9&gt;120,"Keep - high value route","Keep - acceptable"))),"")</f>
        <v/>
      </c>
    </row>
    <row r="10">
      <c r="A10" t="inlineStr">
        <is>
          <t>East Industrial</t>
        </is>
      </c>
      <c r="B10" t="inlineStr">
        <is>
          <t>Monday</t>
        </is>
      </c>
      <c r="C10" t="n">
        <v>7</v>
      </c>
      <c r="D10" t="n">
        <v>640</v>
      </c>
      <c r="E10" t="n">
        <v>2.5</v>
      </c>
      <c r="F10" t="n">
        <v>5</v>
      </c>
      <c r="G10" t="n">
        <v>38</v>
      </c>
      <c r="H10" t="n">
        <v>40</v>
      </c>
      <c r="I10">
        <f>IFERROR((E10+F10)*G10,"")</f>
        <v/>
      </c>
      <c r="J10">
        <f>IFERROR(D10-I10-H10,"")</f>
        <v/>
      </c>
      <c r="K10">
        <f>IFERROR(IF(C10=0,0,J10/C10),"")</f>
        <v/>
      </c>
      <c r="L10">
        <f>IFERROR(IF((E10+F10)=0,0,D10/(E10+F10)),"")</f>
        <v/>
      </c>
      <c r="M10">
        <f>IFERROR(IF(J10&lt;0,"Cut or re-price - losing money",IF(K10&lt;25,"Marginal - raise prices or densify stops",IF(L10&gt;120,"Keep - high value route","Keep - acceptable"))),"")</f>
        <v/>
      </c>
    </row>
    <row r="11">
      <c r="I11">
        <f>IFERROR((E11+F11)*G11,"")</f>
        <v/>
      </c>
      <c r="J11">
        <f>IFERROR(D11-I11-H11,"")</f>
        <v/>
      </c>
      <c r="K11">
        <f>IFERROR(IF(C11=0,0,J11/C11),"")</f>
        <v/>
      </c>
      <c r="L11">
        <f>IFERROR(IF((E11+F11)=0,0,D11/(E11+F11)),"")</f>
        <v/>
      </c>
      <c r="M11">
        <f>IFERROR(IF(J11&lt;0,"Cut or re-price - losing money",IF(K11&lt;25,"Marginal - raise prices or densify stops",IF(L11&gt;120,"Keep - high value route","Keep - acceptable"))),"")</f>
        <v/>
      </c>
    </row>
    <row r="12">
      <c r="I12">
        <f>IFERROR((E12+F12)*G12,"")</f>
        <v/>
      </c>
      <c r="J12">
        <f>IFERROR(D12-I12-H12,"")</f>
        <v/>
      </c>
      <c r="K12">
        <f>IFERROR(IF(C12=0,0,J12/C12),"")</f>
        <v/>
      </c>
      <c r="L12">
        <f>IFERROR(IF((E12+F12)=0,0,D12/(E12+F12)),"")</f>
        <v/>
      </c>
      <c r="M12">
        <f>IFERROR(IF(J12&lt;0,"Cut or re-price - losing money",IF(K12&lt;25,"Marginal - raise prices or densify stops",IF(L12&gt;120,"Keep - high value route","Keep - acceptable"))),"")</f>
        <v/>
      </c>
    </row>
    <row r="13">
      <c r="I13">
        <f>IFERROR((E13+F13)*G13,"")</f>
        <v/>
      </c>
      <c r="J13">
        <f>IFERROR(D13-I13-H13,"")</f>
        <v/>
      </c>
      <c r="K13">
        <f>IFERROR(IF(C13=0,0,J13/C13),"")</f>
        <v/>
      </c>
      <c r="L13">
        <f>IFERROR(IF((E13+F13)=0,0,D13/(E13+F13)),"")</f>
        <v/>
      </c>
      <c r="M13">
        <f>IFERROR(IF(J13&lt;0,"Cut or re-price - losing money",IF(K13&lt;25,"Marginal - raise prices or densify stops",IF(L13&gt;120,"Keep - high value route","Keep - acceptable"))),"")</f>
        <v/>
      </c>
    </row>
    <row r="14">
      <c r="I14">
        <f>IFERROR((E14+F14)*G14,"")</f>
        <v/>
      </c>
      <c r="J14">
        <f>IFERROR(D14-I14-H14,"")</f>
        <v/>
      </c>
      <c r="K14">
        <f>IFERROR(IF(C14=0,0,J14/C14),"")</f>
        <v/>
      </c>
      <c r="L14">
        <f>IFERROR(IF((E14+F14)=0,0,D14/(E14+F14)),"")</f>
        <v/>
      </c>
      <c r="M14">
        <f>IFERROR(IF(J14&lt;0,"Cut or re-price - losing money",IF(K14&lt;25,"Marginal - raise prices or densify stops",IF(L14&gt;120,"Keep - high value route","Keep - acceptable"))),"")</f>
        <v/>
      </c>
    </row>
    <row r="15">
      <c r="I15">
        <f>IFERROR((E15+F15)*G15,"")</f>
        <v/>
      </c>
      <c r="J15">
        <f>IFERROR(D15-I15-H15,"")</f>
        <v/>
      </c>
      <c r="K15">
        <f>IFERROR(IF(C15=0,0,J15/C15),"")</f>
        <v/>
      </c>
      <c r="L15">
        <f>IFERROR(IF((E15+F15)=0,0,D15/(E15+F15)),"")</f>
        <v/>
      </c>
      <c r="M15">
        <f>IFERROR(IF(J15&lt;0,"Cut or re-price - losing money",IF(K15&lt;25,"Marginal - raise prices or densify stops",IF(L15&gt;120,"Keep - high value route","Keep - acceptable"))),"")</f>
        <v/>
      </c>
    </row>
    <row r="16">
      <c r="I16">
        <f>IFERROR((E16+F16)*G16,"")</f>
        <v/>
      </c>
      <c r="J16">
        <f>IFERROR(D16-I16-H16,"")</f>
        <v/>
      </c>
      <c r="K16">
        <f>IFERROR(IF(C16=0,0,J16/C16),"")</f>
        <v/>
      </c>
      <c r="L16">
        <f>IFERROR(IF((E16+F16)=0,0,D16/(E16+F16)),"")</f>
        <v/>
      </c>
      <c r="M16">
        <f>IFERROR(IF(J16&lt;0,"Cut or re-price - losing money",IF(K16&lt;25,"Marginal - raise prices or densify stops",IF(L16&gt;120,"Keep - high value route","Keep - acceptable"))),"")</f>
        <v/>
      </c>
    </row>
    <row r="17">
      <c r="I17">
        <f>IFERROR((E17+F17)*G17,"")</f>
        <v/>
      </c>
      <c r="J17">
        <f>IFERROR(D17-I17-H17,"")</f>
        <v/>
      </c>
      <c r="K17">
        <f>IFERROR(IF(C17=0,0,J17/C17),"")</f>
        <v/>
      </c>
      <c r="L17">
        <f>IFERROR(IF((E17+F17)=0,0,D17/(E17+F17)),"")</f>
        <v/>
      </c>
      <c r="M17">
        <f>IFERROR(IF(J17&lt;0,"Cut or re-price - losing money",IF(K17&lt;25,"Marginal - raise prices or densify stops",IF(L17&gt;120,"Keep - high value route","Keep - acceptable"))),"")</f>
        <v/>
      </c>
    </row>
    <row r="18">
      <c r="I18">
        <f>IFERROR((E18+F18)*G18,"")</f>
        <v/>
      </c>
      <c r="J18">
        <f>IFERROR(D18-I18-H18,"")</f>
        <v/>
      </c>
      <c r="K18">
        <f>IFERROR(IF(C18=0,0,J18/C18),"")</f>
        <v/>
      </c>
      <c r="L18">
        <f>IFERROR(IF((E18+F18)=0,0,D18/(E18+F18)),"")</f>
        <v/>
      </c>
      <c r="M18">
        <f>IFERROR(IF(J18&lt;0,"Cut or re-price - losing money",IF(K18&lt;25,"Marginal - raise prices or densify stops",IF(L18&gt;120,"Keep - high value route","Keep - acceptable"))),"")</f>
        <v/>
      </c>
    </row>
    <row r="19">
      <c r="I19">
        <f>IFERROR((E19+F19)*G19,"")</f>
        <v/>
      </c>
      <c r="J19">
        <f>IFERROR(D19-I19-H19,"")</f>
        <v/>
      </c>
      <c r="K19">
        <f>IFERROR(IF(C19=0,0,J19/C19),"")</f>
        <v/>
      </c>
      <c r="L19">
        <f>IFERROR(IF((E19+F19)=0,0,D19/(E19+F19)),"")</f>
        <v/>
      </c>
      <c r="M19">
        <f>IFERROR(IF(J19&lt;0,"Cut or re-price - losing money",IF(K19&lt;25,"Marginal - raise prices or densify stops",IF(L19&gt;120,"Keep - high value route","Keep - acceptable"))),"")</f>
        <v/>
      </c>
    </row>
    <row r="20">
      <c r="I20">
        <f>IFERROR((E20+F20)*G20,"")</f>
        <v/>
      </c>
      <c r="J20">
        <f>IFERROR(D20-I20-H20,"")</f>
        <v/>
      </c>
      <c r="K20">
        <f>IFERROR(IF(C20=0,0,J20/C20),"")</f>
        <v/>
      </c>
      <c r="L20">
        <f>IFERROR(IF((E20+F20)=0,0,D20/(E20+F20)),"")</f>
        <v/>
      </c>
      <c r="M20">
        <f>IFERROR(IF(J20&lt;0,"Cut or re-price - losing money",IF(K20&lt;25,"Marginal - raise prices or densify stops",IF(L20&gt;120,"Keep - high value route","Keep - acceptable"))),"")</f>
        <v/>
      </c>
    </row>
    <row r="21">
      <c r="I21">
        <f>IFERROR((E21+F21)*G21,"")</f>
        <v/>
      </c>
      <c r="J21">
        <f>IFERROR(D21-I21-H21,"")</f>
        <v/>
      </c>
      <c r="K21">
        <f>IFERROR(IF(C21=0,0,J21/C21),"")</f>
        <v/>
      </c>
      <c r="L21">
        <f>IFERROR(IF((E21+F21)=0,0,D21/(E21+F21)),"")</f>
        <v/>
      </c>
      <c r="M21">
        <f>IFERROR(IF(J21&lt;0,"Cut or re-price - losing money",IF(K21&lt;25,"Marginal - raise prices or densify stops",IF(L21&gt;120,"Keep - high value route","Keep - acceptable"))),"")</f>
        <v/>
      </c>
    </row>
    <row r="22">
      <c r="I22">
        <f>IFERROR((E22+F22)*G22,"")</f>
        <v/>
      </c>
      <c r="J22">
        <f>IFERROR(D22-I22-H22,"")</f>
        <v/>
      </c>
      <c r="K22">
        <f>IFERROR(IF(C22=0,0,J22/C22),"")</f>
        <v/>
      </c>
      <c r="L22">
        <f>IFERROR(IF((E22+F22)=0,0,D22/(E22+F22)),"")</f>
        <v/>
      </c>
      <c r="M22">
        <f>IFERROR(IF(J22&lt;0,"Cut or re-price - losing money",IF(K22&lt;25,"Marginal - raise prices or densify stops",IF(L22&gt;120,"Keep - high value route","Keep - acceptable"))),"")</f>
        <v/>
      </c>
    </row>
    <row r="23">
      <c r="I23">
        <f>IFERROR((E23+F23)*G23,"")</f>
        <v/>
      </c>
      <c r="J23">
        <f>IFERROR(D23-I23-H23,"")</f>
        <v/>
      </c>
      <c r="K23">
        <f>IFERROR(IF(C23=0,0,J23/C23),"")</f>
        <v/>
      </c>
      <c r="L23">
        <f>IFERROR(IF((E23+F23)=0,0,D23/(E23+F23)),"")</f>
        <v/>
      </c>
      <c r="M23">
        <f>IFERROR(IF(J23&lt;0,"Cut or re-price - losing money",IF(K23&lt;25,"Marginal - raise prices or densify stops",IF(L23&gt;120,"Keep - high value route","Keep - acceptable"))),"")</f>
        <v/>
      </c>
    </row>
    <row r="24">
      <c r="I24">
        <f>IFERROR((E24+F24)*G24,"")</f>
        <v/>
      </c>
      <c r="J24">
        <f>IFERROR(D24-I24-H24,"")</f>
        <v/>
      </c>
      <c r="K24">
        <f>IFERROR(IF(C24=0,0,J24/C24),"")</f>
        <v/>
      </c>
      <c r="L24">
        <f>IFERROR(IF((E24+F24)=0,0,D24/(E24+F24)),"")</f>
        <v/>
      </c>
      <c r="M24">
        <f>IFERROR(IF(J24&lt;0,"Cut or re-price - losing money",IF(K24&lt;25,"Marginal - raise prices or densify stops",IF(L24&gt;120,"Keep - high value route","Keep - acceptable"))),"")</f>
        <v/>
      </c>
    </row>
    <row r="25">
      <c r="I25">
        <f>IFERROR((E25+F25)*G25,"")</f>
        <v/>
      </c>
      <c r="J25">
        <f>IFERROR(D25-I25-H25,"")</f>
        <v/>
      </c>
      <c r="K25">
        <f>IFERROR(IF(C25=0,0,J25/C25),"")</f>
        <v/>
      </c>
      <c r="L25">
        <f>IFERROR(IF((E25+F25)=0,0,D25/(E25+F25)),"")</f>
        <v/>
      </c>
      <c r="M25">
        <f>IFERROR(IF(J25&lt;0,"Cut or re-price - losing money",IF(K25&lt;25,"Marginal - raise prices or densify stops",IF(L25&gt;120,"Keep - high value route","Keep - acceptable"))),"")</f>
        <v/>
      </c>
    </row>
  </sheetData>
  <mergeCells count="1">
    <mergeCell ref="A1:M3"/>
  </mergeCells>
  <conditionalFormatting sqref="J6:J25">
    <cfRule type="cellIs" priority="1" operator="lessThan" dxfId="1">
      <formula>0</formula>
    </cfRule>
  </conditionalFormatting>
  <conditionalFormatting sqref="K6:K25">
    <cfRule type="cellIs" priority="2" operator="lessThan" dxfId="0">
      <formula>25</formula>
    </cfRule>
  </conditionalFormatting>
  <conditionalFormatting sqref="L6:L25">
    <cfRule type="cellIs" priority="3" operator="greaterThan" dxfId="2">
      <formula>120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21" customWidth="1" min="4" max="4"/>
    <col width="18" customWidth="1" min="5" max="5"/>
    <col width="19" customWidth="1" min="6" max="6"/>
    <col width="16" customWidth="1" min="7" max="7"/>
    <col width="16" customWidth="1" min="8" max="8"/>
    <col width="21" customWidth="1" min="9" max="9"/>
    <col width="16" customWidth="1" min="10" max="10"/>
  </cols>
  <sheetData>
    <row r="1">
      <c r="A1" s="1" t="inlineStr">
        <is>
          <t>AI INSIGHT SUMMARY:
Crew 2 generated $2,340 gross profit this week vs. Crew 1 at $1,610 — a 45% gap driven by 2.1 fewer drive hours per job and 18% lower materials waste. Crew 1 is your priority review this week: route optimization could recover an estimated $730 in weekly profit. Truck 3 repair costs have reached $8,200 this year against a $6,400 annual lease equivalent — replacement is now economically justified. Across all routes, the Tuesday North loop is your only unprofitable route at -$140/week and should be re-priced or cut.</t>
        </is>
      </c>
    </row>
    <row r="2"/>
    <row r="3"/>
    <row r="4"/>
    <row r="5">
      <c r="A5" s="2" t="inlineStr">
        <is>
          <t>Week</t>
        </is>
      </c>
      <c r="B5" s="2" t="inlineStr">
        <is>
          <t>Total Revenue</t>
        </is>
      </c>
      <c r="C5" s="2" t="inlineStr">
        <is>
          <t>Total Gross Profit</t>
        </is>
      </c>
      <c r="D5" s="2" t="inlineStr">
        <is>
          <t>Avg Profit Margin %</t>
        </is>
      </c>
      <c r="E5" s="2" t="inlineStr">
        <is>
          <t>Best Crew Profit</t>
        </is>
      </c>
      <c r="F5" s="2" t="inlineStr">
        <is>
          <t>Worst Crew Profit</t>
        </is>
      </c>
      <c r="G5" s="2" t="inlineStr">
        <is>
          <t>Profit Gap %</t>
        </is>
      </c>
      <c r="H5" s="2" t="inlineStr">
        <is>
          <t>Trucks Flagged</t>
        </is>
      </c>
      <c r="I5" s="2" t="inlineStr">
        <is>
          <t>Routes Losing Money</t>
        </is>
      </c>
      <c r="J5" s="2" t="inlineStr">
        <is>
          <t>Top Action</t>
        </is>
      </c>
    </row>
    <row r="6">
      <c r="A6" t="inlineStr">
        <is>
          <t>2024-W18</t>
        </is>
      </c>
      <c r="B6" t="n">
        <v>28900</v>
      </c>
      <c r="C6" t="n">
        <v>9050</v>
      </c>
      <c r="D6">
        <f>IFERROR(IF(B6=0,0,C6/B6),"")</f>
        <v/>
      </c>
      <c r="E6" t="n">
        <v>2782</v>
      </c>
      <c r="F6" t="n">
        <v>-112</v>
      </c>
      <c r="G6">
        <f>IFERROR(IF(E6=0,0,(E6-F6)/E6),"")</f>
        <v/>
      </c>
      <c r="H6" t="n">
        <v>2</v>
      </c>
      <c r="I6" t="n">
        <v>1</v>
      </c>
      <c r="J6">
        <f>IFERROR(IF(I6&gt;0,"Cut/re-price unprofitable routes first",IF(H6&gt;0,"Address flagged truck replacement",IF(G6&gt;0.3,"Coach lowest crew on drive time &amp; materials","Maintain - operations healthy"))),"")</f>
        <v/>
      </c>
    </row>
    <row r="7">
      <c r="A7" t="inlineStr">
        <is>
          <t>2024-W19</t>
        </is>
      </c>
      <c r="B7" t="n">
        <v>31200</v>
      </c>
      <c r="C7" t="n">
        <v>10800</v>
      </c>
      <c r="D7">
        <f>IFERROR(IF(B7=0,0,C7/B7),"")</f>
        <v/>
      </c>
      <c r="E7" t="n">
        <v>2950</v>
      </c>
      <c r="F7" t="n">
        <v>1610</v>
      </c>
      <c r="G7">
        <f>IFERROR(IF(E7=0,0,(E7-F7)/E7),"")</f>
        <v/>
      </c>
      <c r="H7" t="n">
        <v>1</v>
      </c>
      <c r="I7" t="n">
        <v>0</v>
      </c>
      <c r="J7">
        <f>IFERROR(IF(I7&gt;0,"Cut/re-price unprofitable routes first",IF(H7&gt;0,"Address flagged truck replacement",IF(G7&gt;0.3,"Coach lowest crew on drive time &amp; materials","Maintain - operations healthy"))),"")</f>
        <v/>
      </c>
    </row>
    <row r="8">
      <c r="A8" t="inlineStr">
        <is>
          <t>2024-W20</t>
        </is>
      </c>
      <c r="B8" t="n">
        <v>30100</v>
      </c>
      <c r="C8" t="n">
        <v>9700</v>
      </c>
      <c r="D8">
        <f>IFERROR(IF(B8=0,0,C8/B8),"")</f>
        <v/>
      </c>
      <c r="E8" t="n">
        <v>2810</v>
      </c>
      <c r="F8" t="n">
        <v>1980</v>
      </c>
      <c r="G8">
        <f>IFERROR(IF(E8=0,0,(E8-F8)/E8),"")</f>
        <v/>
      </c>
      <c r="H8" t="n">
        <v>0</v>
      </c>
      <c r="I8" t="n">
        <v>0</v>
      </c>
      <c r="J8">
        <f>IFERROR(IF(I8&gt;0,"Cut/re-price unprofitable routes first",IF(H8&gt;0,"Address flagged truck replacement",IF(G8&gt;0.3,"Coach lowest crew on drive time &amp; materials","Maintain - operations healthy"))),"")</f>
        <v/>
      </c>
    </row>
    <row r="9">
      <c r="A9" t="inlineStr">
        <is>
          <t>2024-W21</t>
        </is>
      </c>
      <c r="B9" t="n">
        <v>33400</v>
      </c>
      <c r="C9" t="n">
        <v>12100</v>
      </c>
      <c r="D9">
        <f>IFERROR(IF(B9=0,0,C9/B9),"")</f>
        <v/>
      </c>
      <c r="E9" t="n">
        <v>3100</v>
      </c>
      <c r="F9" t="n">
        <v>2050</v>
      </c>
      <c r="G9">
        <f>IFERROR(IF(E9=0,0,(E9-F9)/E9),"")</f>
        <v/>
      </c>
      <c r="H9" t="n">
        <v>0</v>
      </c>
      <c r="I9" t="n">
        <v>0</v>
      </c>
      <c r="J9">
        <f>IFERROR(IF(I9&gt;0,"Cut/re-price unprofitable routes first",IF(H9&gt;0,"Address flagged truck replacement",IF(G9&gt;0.3,"Coach lowest crew on drive time &amp; materials","Maintain - operations healthy"))),"")</f>
        <v/>
      </c>
    </row>
    <row r="10">
      <c r="D10">
        <f>IFERROR(IF(B10=0,0,C10/B10),"")</f>
        <v/>
      </c>
      <c r="G10">
        <f>IFERROR(IF(E10=0,0,(E10-F10)/E10),"")</f>
        <v/>
      </c>
      <c r="J10">
        <f>IFERROR(IF(I10&gt;0,"Cut/re-price unprofitable routes first",IF(H10&gt;0,"Address flagged truck replacement",IF(G10&gt;0.3,"Coach lowest crew on drive time &amp; materials","Maintain - operations healthy"))),"")</f>
        <v/>
      </c>
    </row>
    <row r="11">
      <c r="D11">
        <f>IFERROR(IF(B11=0,0,C11/B11),"")</f>
        <v/>
      </c>
      <c r="G11">
        <f>IFERROR(IF(E11=0,0,(E11-F11)/E11),"")</f>
        <v/>
      </c>
      <c r="J11">
        <f>IFERROR(IF(I11&gt;0,"Cut/re-price unprofitable routes first",IF(H11&gt;0,"Address flagged truck replacement",IF(G11&gt;0.3,"Coach lowest crew on drive time &amp; materials","Maintain - operations healthy"))),"")</f>
        <v/>
      </c>
    </row>
    <row r="12">
      <c r="D12">
        <f>IFERROR(IF(B12=0,0,C12/B12),"")</f>
        <v/>
      </c>
      <c r="G12">
        <f>IFERROR(IF(E12=0,0,(E12-F12)/E12),"")</f>
        <v/>
      </c>
      <c r="J12">
        <f>IFERROR(IF(I12&gt;0,"Cut/re-price unprofitable routes first",IF(H12&gt;0,"Address flagged truck replacement",IF(G12&gt;0.3,"Coach lowest crew on drive time &amp; materials","Maintain - operations healthy"))),"")</f>
        <v/>
      </c>
    </row>
    <row r="13">
      <c r="D13">
        <f>IFERROR(IF(B13=0,0,C13/B13),"")</f>
        <v/>
      </c>
      <c r="G13">
        <f>IFERROR(IF(E13=0,0,(E13-F13)/E13),"")</f>
        <v/>
      </c>
      <c r="J13">
        <f>IFERROR(IF(I13&gt;0,"Cut/re-price unprofitable routes first",IF(H13&gt;0,"Address flagged truck replacement",IF(G13&gt;0.3,"Coach lowest crew on drive time &amp; materials","Maintain - operations healthy"))),"")</f>
        <v/>
      </c>
    </row>
    <row r="14">
      <c r="D14">
        <f>IFERROR(IF(B14=0,0,C14/B14),"")</f>
        <v/>
      </c>
      <c r="G14">
        <f>IFERROR(IF(E14=0,0,(E14-F14)/E14),"")</f>
        <v/>
      </c>
      <c r="J14">
        <f>IFERROR(IF(I14&gt;0,"Cut/re-price unprofitable routes first",IF(H14&gt;0,"Address flagged truck replacement",IF(G14&gt;0.3,"Coach lowest crew on drive time &amp; materials","Maintain - operations healthy"))),"")</f>
        <v/>
      </c>
    </row>
    <row r="15">
      <c r="D15">
        <f>IFERROR(IF(B15=0,0,C15/B15),"")</f>
        <v/>
      </c>
      <c r="G15">
        <f>IFERROR(IF(E15=0,0,(E15-F15)/E15),"")</f>
        <v/>
      </c>
      <c r="J15">
        <f>IFERROR(IF(I15&gt;0,"Cut/re-price unprofitable routes first",IF(H15&gt;0,"Address flagged truck replacement",IF(G15&gt;0.3,"Coach lowest crew on drive time &amp; materials","Maintain - operations healthy"))),"")</f>
        <v/>
      </c>
    </row>
    <row r="16">
      <c r="D16">
        <f>IFERROR(IF(B16=0,0,C16/B16),"")</f>
        <v/>
      </c>
      <c r="G16">
        <f>IFERROR(IF(E16=0,0,(E16-F16)/E16),"")</f>
        <v/>
      </c>
      <c r="J16">
        <f>IFERROR(IF(I16&gt;0,"Cut/re-price unprofitable routes first",IF(H16&gt;0,"Address flagged truck replacement",IF(G16&gt;0.3,"Coach lowest crew on drive time &amp; materials","Maintain - operations healthy"))),"")</f>
        <v/>
      </c>
    </row>
    <row r="17">
      <c r="D17">
        <f>IFERROR(IF(B17=0,0,C17/B17),"")</f>
        <v/>
      </c>
      <c r="G17">
        <f>IFERROR(IF(E17=0,0,(E17-F17)/E17),"")</f>
        <v/>
      </c>
      <c r="J17">
        <f>IFERROR(IF(I17&gt;0,"Cut/re-price unprofitable routes first",IF(H17&gt;0,"Address flagged truck replacement",IF(G17&gt;0.3,"Coach lowest crew on drive time &amp; materials","Maintain - operations healthy"))),"")</f>
        <v/>
      </c>
    </row>
    <row r="18">
      <c r="D18">
        <f>IFERROR(IF(B18=0,0,C18/B18),"")</f>
        <v/>
      </c>
      <c r="G18">
        <f>IFERROR(IF(E18=0,0,(E18-F18)/E18),"")</f>
        <v/>
      </c>
      <c r="J18">
        <f>IFERROR(IF(I18&gt;0,"Cut/re-price unprofitable routes first",IF(H18&gt;0,"Address flagged truck replacement",IF(G18&gt;0.3,"Coach lowest crew on drive time &amp; materials","Maintain - operations healthy"))),"")</f>
        <v/>
      </c>
    </row>
    <row r="19">
      <c r="D19">
        <f>IFERROR(IF(B19=0,0,C19/B19),"")</f>
        <v/>
      </c>
      <c r="G19">
        <f>IFERROR(IF(E19=0,0,(E19-F19)/E19),"")</f>
        <v/>
      </c>
      <c r="J19">
        <f>IFERROR(IF(I19&gt;0,"Cut/re-price unprofitable routes first",IF(H19&gt;0,"Address flagged truck replacement",IF(G19&gt;0.3,"Coach lowest crew on drive time &amp; materials","Maintain - operations healthy"))),"")</f>
        <v/>
      </c>
    </row>
    <row r="20">
      <c r="D20">
        <f>IFERROR(IF(B20=0,0,C20/B20),"")</f>
        <v/>
      </c>
      <c r="G20">
        <f>IFERROR(IF(E20=0,0,(E20-F20)/E20),"")</f>
        <v/>
      </c>
      <c r="J20">
        <f>IFERROR(IF(I20&gt;0,"Cut/re-price unprofitable routes first",IF(H20&gt;0,"Address flagged truck replacement",IF(G20&gt;0.3,"Coach lowest crew on drive time &amp; materials","Maintain - operations healthy"))),"")</f>
        <v/>
      </c>
    </row>
    <row r="21">
      <c r="D21">
        <f>IFERROR(IF(B21=0,0,C21/B21),"")</f>
        <v/>
      </c>
      <c r="G21">
        <f>IFERROR(IF(E21=0,0,(E21-F21)/E21),"")</f>
        <v/>
      </c>
      <c r="J21">
        <f>IFERROR(IF(I21&gt;0,"Cut/re-price unprofitable routes first",IF(H21&gt;0,"Address flagged truck replacement",IF(G21&gt;0.3,"Coach lowest crew on drive time &amp; materials","Maintain - operations healthy"))),"")</f>
        <v/>
      </c>
    </row>
    <row r="22">
      <c r="D22">
        <f>IFERROR(IF(B22=0,0,C22/B22),"")</f>
        <v/>
      </c>
      <c r="G22">
        <f>IFERROR(IF(E22=0,0,(E22-F22)/E22),"")</f>
        <v/>
      </c>
      <c r="J22">
        <f>IFERROR(IF(I22&gt;0,"Cut/re-price unprofitable routes first",IF(H22&gt;0,"Address flagged truck replacement",IF(G22&gt;0.3,"Coach lowest crew on drive time &amp; materials","Maintain - operations healthy"))),"")</f>
        <v/>
      </c>
    </row>
    <row r="23">
      <c r="D23">
        <f>IFERROR(IF(B23=0,0,C23/B23),"")</f>
        <v/>
      </c>
      <c r="G23">
        <f>IFERROR(IF(E23=0,0,(E23-F23)/E23),"")</f>
        <v/>
      </c>
      <c r="J23">
        <f>IFERROR(IF(I23&gt;0,"Cut/re-price unprofitable routes first",IF(H23&gt;0,"Address flagged truck replacement",IF(G23&gt;0.3,"Coach lowest crew on drive time &amp; materials","Maintain - operations healthy"))),"")</f>
        <v/>
      </c>
    </row>
    <row r="24">
      <c r="D24">
        <f>IFERROR(IF(B24=0,0,C24/B24),"")</f>
        <v/>
      </c>
      <c r="G24">
        <f>IFERROR(IF(E24=0,0,(E24-F24)/E24),"")</f>
        <v/>
      </c>
      <c r="J24">
        <f>IFERROR(IF(I24&gt;0,"Cut/re-price unprofitable routes first",IF(H24&gt;0,"Address flagged truck replacement",IF(G24&gt;0.3,"Coach lowest crew on drive time &amp; materials","Maintain - operations healthy"))),"")</f>
        <v/>
      </c>
    </row>
  </sheetData>
  <mergeCells count="1">
    <mergeCell ref="A1:J3"/>
  </mergeCells>
  <conditionalFormatting sqref="D6:D24">
    <cfRule type="cellIs" priority="1" operator="lessThan" dxfId="0">
      <formula>0.2</formula>
    </cfRule>
    <cfRule type="cellIs" priority="2" operator="greaterThan" dxfId="2">
      <formula>0.35</formula>
    </cfRule>
  </conditionalFormatting>
  <conditionalFormatting sqref="G6:G24">
    <cfRule type="cellIs" priority="3" operator="greaterThan" dxfId="0">
      <formula>0.3</formula>
    </cfRule>
  </conditionalFormatting>
  <conditionalFormatting sqref="I6:I24">
    <cfRule type="cellIs" priority="4" operator="greater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2026-06-29T02:41:46Z</dcterms:created>
  <dcterms:modified xsi:type="dcterms:W3CDTF">2026-06-29T03:44:05Z</dcterms:modified>
</cp:coreProperties>
</file>