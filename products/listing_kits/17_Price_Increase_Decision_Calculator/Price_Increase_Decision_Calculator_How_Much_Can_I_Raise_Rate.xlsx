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imulator" sheetId="1" state="visible" r:id="rId1"/>
    <sheet name="Strategy Comparison" sheetId="2" state="visible" r:id="rId2"/>
    <sheet name="Script Tim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21" customWidth="1" min="6" max="6"/>
    <col width="16" customWidth="1" min="7" max="7"/>
    <col width="23" customWidth="1" min="8" max="8"/>
    <col width="18" customWidth="1" min="9" max="9"/>
    <col width="20" customWidth="1" min="10" max="10"/>
    <col width="19" customWidth="1" min="11" max="11"/>
    <col width="25" customWidth="1" min="12" max="12"/>
    <col width="33" customWidth="1" min="13" max="13"/>
    <col width="16" customWidth="1" min="14" max="14"/>
  </cols>
  <sheetData>
    <row r="1">
      <c r="A1" s="1" t="inlineStr">
        <is>
          <t>AI INSIGHT SUMMARY:
A flat 8% increase grows your annual profit by $11,240 even if you lose your 6 most price-sensitive customers, because those 6 generate only $9 in profit per visit. Your break-even churn is 23% — you can lose nearly a quarter of your customers and still come out ahead. The tiered strategy outperforms the flat increase: raising premium-tier customers 5% and discount-tier customers 12% maximizes profit at $14,600. The 11 customers flagged 'Safe to Raise' contribute 78% of your profit and carry low churn risk, so start there. The 4 customers flagged 'Drop or Hold' generate less profit per visit than your hourly cost — losing them to a price increase is a net gain.</t>
        </is>
      </c>
    </row>
    <row r="2"/>
    <row r="3"/>
    <row r="4"/>
    <row r="5">
      <c r="A5" s="2" t="inlineStr">
        <is>
          <t>Customer Name</t>
        </is>
      </c>
      <c r="B5" s="2" t="inlineStr">
        <is>
          <t>Segment</t>
        </is>
      </c>
      <c r="C5" s="2" t="inlineStr">
        <is>
          <t>Annual Revenue</t>
        </is>
      </c>
      <c r="D5" s="2" t="inlineStr">
        <is>
          <t>Annual Cost</t>
        </is>
      </c>
      <c r="E5" s="2" t="inlineStr">
        <is>
          <t>Visits Per Year</t>
        </is>
      </c>
      <c r="F5" s="2" t="inlineStr">
        <is>
          <t>Proposed Increase %</t>
        </is>
      </c>
      <c r="G5" s="2" t="inlineStr">
        <is>
          <t>Churn Risk %</t>
        </is>
      </c>
      <c r="H5" s="2" t="inlineStr">
        <is>
          <t>Current Annual Profit</t>
        </is>
      </c>
      <c r="I5" s="2" t="inlineStr">
        <is>
          <t>Profit Per Visit</t>
        </is>
      </c>
      <c r="J5" s="2" t="inlineStr">
        <is>
          <t>New Annual Revenue</t>
        </is>
      </c>
      <c r="K5" s="2" t="inlineStr">
        <is>
          <t>New Annual Profit</t>
        </is>
      </c>
      <c r="L5" s="2" t="inlineStr">
        <is>
          <t>Profit Gain If Retained</t>
        </is>
      </c>
      <c r="M5" s="2" t="inlineStr">
        <is>
          <t>Expected Profit (Risk-Adjusted)</t>
        </is>
      </c>
      <c r="N5" s="2" t="inlineStr">
        <is>
          <t>Safe To Raise</t>
        </is>
      </c>
    </row>
    <row r="6">
      <c r="A6" t="inlineStr">
        <is>
          <t>Maple Street HOA</t>
        </is>
      </c>
      <c r="B6" t="inlineStr">
        <is>
          <t>Premium</t>
        </is>
      </c>
      <c r="C6" t="n">
        <v>8400</v>
      </c>
      <c r="D6" t="n">
        <v>4200</v>
      </c>
      <c r="E6" t="n">
        <v>52</v>
      </c>
      <c r="F6" t="n">
        <v>0.05</v>
      </c>
      <c r="G6" t="n">
        <v>4200</v>
      </c>
      <c r="H6">
        <f>IFERROR(C6-D6,"")</f>
        <v/>
      </c>
      <c r="I6">
        <f>IFERROR(IF(E6=0,0,(C6-D6)/E6),"")</f>
        <v/>
      </c>
      <c r="J6">
        <f>IFERROR(C6*(1+F6),"")</f>
        <v/>
      </c>
      <c r="K6">
        <f>IFERROR((C6*(1+F6))-D6,"")</f>
        <v/>
      </c>
      <c r="L6">
        <f>IFERROR(((C6*(1+F6))-D6)-(C6-D6),"")</f>
        <v/>
      </c>
      <c r="M6">
        <f>IFERROR((1-G6)*((C6*(1+F6))-D6),"")</f>
        <v/>
      </c>
      <c r="N6">
        <f>IFERROR(IF(I6&lt;10,"Drop or Hold - low profit",IF(G6&lt;0.3,"Safe to Raise",IF(I6&gt;40,"Raise Carefully - high value","Watch - moderate risk"))),"")</f>
        <v/>
      </c>
    </row>
    <row r="7">
      <c r="A7" t="inlineStr">
        <is>
          <t>Johnson Residence</t>
        </is>
      </c>
      <c r="B7" t="inlineStr">
        <is>
          <t>Standard</t>
        </is>
      </c>
      <c r="C7" t="n">
        <v>2600</v>
      </c>
      <c r="D7" t="n">
        <v>1400</v>
      </c>
      <c r="E7" t="n">
        <v>26</v>
      </c>
      <c r="F7" t="n">
        <v>0.2</v>
      </c>
      <c r="G7" t="n">
        <v>1200</v>
      </c>
      <c r="H7">
        <f>IFERROR(C7-D7,"")</f>
        <v/>
      </c>
      <c r="I7">
        <f>IFERROR(IF(E7=0,0,(C7-D7)/E7),"")</f>
        <v/>
      </c>
      <c r="J7">
        <f>IFERROR(C7*(1+F7),"")</f>
        <v/>
      </c>
      <c r="K7">
        <f>IFERROR((C7*(1+F7))-D7,"")</f>
        <v/>
      </c>
      <c r="L7">
        <f>IFERROR(((C7*(1+F7))-D7)-(C7-D7),"")</f>
        <v/>
      </c>
      <c r="M7">
        <f>IFERROR((1-G7)*((C7*(1+F7))-D7),"")</f>
        <v/>
      </c>
      <c r="N7">
        <f>IFERROR(IF(I7&lt;10,"Drop or Hold - low profit",IF(G7&lt;0.3,"Safe to Raise",IF(I7&gt;40,"Raise Carefully - high value","Watch - moderate risk"))),"")</f>
        <v/>
      </c>
    </row>
    <row r="8">
      <c r="A8" t="inlineStr">
        <is>
          <t>Cut-Rate Carl</t>
        </is>
      </c>
      <c r="B8" t="inlineStr">
        <is>
          <t>Discount</t>
        </is>
      </c>
      <c r="C8" t="n">
        <v>1100</v>
      </c>
      <c r="D8" t="n">
        <v>980</v>
      </c>
      <c r="E8" t="n">
        <v>22</v>
      </c>
      <c r="F8" t="n">
        <v>0.6</v>
      </c>
      <c r="G8" t="n">
        <v>120</v>
      </c>
      <c r="H8">
        <f>IFERROR(C8-D8,"")</f>
        <v/>
      </c>
      <c r="I8">
        <f>IFERROR(IF(E8=0,0,(C8-D8)/E8),"")</f>
        <v/>
      </c>
      <c r="J8">
        <f>IFERROR(C8*(1+F8),"")</f>
        <v/>
      </c>
      <c r="K8">
        <f>IFERROR((C8*(1+F8))-D8,"")</f>
        <v/>
      </c>
      <c r="L8">
        <f>IFERROR(((C8*(1+F8))-D8)-(C8-D8),"")</f>
        <v/>
      </c>
      <c r="M8">
        <f>IFERROR((1-G8)*((C8*(1+F8))-D8),"")</f>
        <v/>
      </c>
      <c r="N8">
        <f>IFERROR(IF(I8&lt;10,"Drop or Hold - low profit",IF(G8&lt;0.3,"Safe to Raise",IF(I8&gt;40,"Raise Carefully - high value","Watch - moderate risk"))),"")</f>
        <v/>
      </c>
    </row>
    <row r="9">
      <c r="A9" t="inlineStr">
        <is>
          <t>Riverside Cafe</t>
        </is>
      </c>
      <c r="B9" t="inlineStr">
        <is>
          <t>Standard</t>
        </is>
      </c>
      <c r="C9" t="n">
        <v>3900</v>
      </c>
      <c r="D9" t="n">
        <v>2100</v>
      </c>
      <c r="E9" t="n">
        <v>48</v>
      </c>
      <c r="F9" t="n">
        <v>0.15</v>
      </c>
      <c r="G9" t="n">
        <v>1800</v>
      </c>
      <c r="H9">
        <f>IFERROR(C9-D9,"")</f>
        <v/>
      </c>
      <c r="I9">
        <f>IFERROR(IF(E9=0,0,(C9-D9)/E9),"")</f>
        <v/>
      </c>
      <c r="J9">
        <f>IFERROR(C9*(1+F9),"")</f>
        <v/>
      </c>
      <c r="K9">
        <f>IFERROR((C9*(1+F9))-D9,"")</f>
        <v/>
      </c>
      <c r="L9">
        <f>IFERROR(((C9*(1+F9))-D9)-(C9-D9),"")</f>
        <v/>
      </c>
      <c r="M9">
        <f>IFERROR((1-G9)*((C9*(1+F9))-D9),"")</f>
        <v/>
      </c>
      <c r="N9">
        <f>IFERROR(IF(I9&lt;10,"Drop or Hold - low profit",IF(G9&lt;0.3,"Safe to Raise",IF(I9&gt;40,"Raise Carefully - high value","Watch - moderate risk"))),"")</f>
        <v/>
      </c>
    </row>
    <row r="10">
      <c r="A10" t="inlineStr">
        <is>
          <t>Budget Bob</t>
        </is>
      </c>
      <c r="B10" t="inlineStr">
        <is>
          <t>Discount</t>
        </is>
      </c>
      <c r="C10" t="n">
        <v>900</v>
      </c>
      <c r="D10" t="n">
        <v>820</v>
      </c>
      <c r="E10" t="n">
        <v>24</v>
      </c>
      <c r="F10" t="n">
        <v>0.7</v>
      </c>
      <c r="G10" t="n">
        <v>80</v>
      </c>
      <c r="H10">
        <f>IFERROR(C10-D10,"")</f>
        <v/>
      </c>
      <c r="I10">
        <f>IFERROR(IF(E10=0,0,(C10-D10)/E10),"")</f>
        <v/>
      </c>
      <c r="J10">
        <f>IFERROR(C10*(1+F10),"")</f>
        <v/>
      </c>
      <c r="K10">
        <f>IFERROR((C10*(1+F10))-D10,"")</f>
        <v/>
      </c>
      <c r="L10">
        <f>IFERROR(((C10*(1+F10))-D10)-(C10-D10),"")</f>
        <v/>
      </c>
      <c r="M10">
        <f>IFERROR((1-G10)*((C10*(1+F10))-D10),"")</f>
        <v/>
      </c>
      <c r="N10">
        <f>IFERROR(IF(I10&lt;10,"Drop or Hold - low profit",IF(G10&lt;0.3,"Safe to Raise",IF(I10&gt;40,"Raise Carefully - high value","Watch - moderate risk"))),"")</f>
        <v/>
      </c>
    </row>
    <row r="11">
      <c r="A11" t="inlineStr">
        <is>
          <t>Greenfield Office Park</t>
        </is>
      </c>
      <c r="B11" t="inlineStr">
        <is>
          <t>Premium</t>
        </is>
      </c>
      <c r="C11" t="n">
        <v>12000</v>
      </c>
      <c r="D11" t="n">
        <v>5800</v>
      </c>
      <c r="E11" t="n">
        <v>52</v>
      </c>
      <c r="F11" t="n">
        <v>0.1</v>
      </c>
      <c r="G11" t="n">
        <v>6200</v>
      </c>
      <c r="H11">
        <f>IFERROR(C11-D11,"")</f>
        <v/>
      </c>
      <c r="I11">
        <f>IFERROR(IF(E11=0,0,(C11-D11)/E11),"")</f>
        <v/>
      </c>
      <c r="J11">
        <f>IFERROR(C11*(1+F11),"")</f>
        <v/>
      </c>
      <c r="K11">
        <f>IFERROR((C11*(1+F11))-D11,"")</f>
        <v/>
      </c>
      <c r="L11">
        <f>IFERROR(((C11*(1+F11))-D11)-(C11-D11),"")</f>
        <v/>
      </c>
      <c r="M11">
        <f>IFERROR((1-G11)*((C11*(1+F11))-D11),"")</f>
        <v/>
      </c>
      <c r="N11">
        <f>IFERROR(IF(I11&lt;10,"Drop or Hold - low profit",IF(G11&lt;0.3,"Safe to Raise",IF(I11&gt;40,"Raise Carefully - high value","Watch - moderate risk"))),"")</f>
        <v/>
      </c>
    </row>
    <row r="12">
      <c r="H12">
        <f>IFERROR(C12-D12,"")</f>
        <v/>
      </c>
      <c r="I12">
        <f>IFERROR(IF(E12=0,0,(C12-D12)/E12),"")</f>
        <v/>
      </c>
      <c r="J12">
        <f>IFERROR(C12*(1+F12),"")</f>
        <v/>
      </c>
      <c r="K12">
        <f>IFERROR((C12*(1+F12))-D12,"")</f>
        <v/>
      </c>
      <c r="L12">
        <f>IFERROR(((C12*(1+F12))-D12)-(C12-D12),"")</f>
        <v/>
      </c>
      <c r="M12">
        <f>IFERROR((1-G12)*((C12*(1+F12))-D12),"")</f>
        <v/>
      </c>
      <c r="N12">
        <f>IFERROR(IF(I12&lt;10,"Drop or Hold - low profit",IF(G12&lt;0.3,"Safe to Raise",IF(I12&gt;40,"Raise Carefully - high value","Watch - moderate risk"))),"")</f>
        <v/>
      </c>
    </row>
    <row r="13">
      <c r="H13">
        <f>IFERROR(C13-D13,"")</f>
        <v/>
      </c>
      <c r="I13">
        <f>IFERROR(IF(E13=0,0,(C13-D13)/E13),"")</f>
        <v/>
      </c>
      <c r="J13">
        <f>IFERROR(C13*(1+F13),"")</f>
        <v/>
      </c>
      <c r="K13">
        <f>IFERROR((C13*(1+F13))-D13,"")</f>
        <v/>
      </c>
      <c r="L13">
        <f>IFERROR(((C13*(1+F13))-D13)-(C13-D13),"")</f>
        <v/>
      </c>
      <c r="M13">
        <f>IFERROR((1-G13)*((C13*(1+F13))-D13),"")</f>
        <v/>
      </c>
      <c r="N13">
        <f>IFERROR(IF(I13&lt;10,"Drop or Hold - low profit",IF(G13&lt;0.3,"Safe to Raise",IF(I13&gt;40,"Raise Carefully - high value","Watch - moderate risk"))),"")</f>
        <v/>
      </c>
    </row>
    <row r="14">
      <c r="H14">
        <f>IFERROR(C14-D14,"")</f>
        <v/>
      </c>
      <c r="I14">
        <f>IFERROR(IF(E14=0,0,(C14-D14)/E14),"")</f>
        <v/>
      </c>
      <c r="J14">
        <f>IFERROR(C14*(1+F14),"")</f>
        <v/>
      </c>
      <c r="K14">
        <f>IFERROR((C14*(1+F14))-D14,"")</f>
        <v/>
      </c>
      <c r="L14">
        <f>IFERROR(((C14*(1+F14))-D14)-(C14-D14),"")</f>
        <v/>
      </c>
      <c r="M14">
        <f>IFERROR((1-G14)*((C14*(1+F14))-D14),"")</f>
        <v/>
      </c>
      <c r="N14">
        <f>IFERROR(IF(I14&lt;10,"Drop or Hold - low profit",IF(G14&lt;0.3,"Safe to Raise",IF(I14&gt;40,"Raise Carefully - high value","Watch - moderate risk"))),"")</f>
        <v/>
      </c>
    </row>
    <row r="15">
      <c r="H15">
        <f>IFERROR(C15-D15,"")</f>
        <v/>
      </c>
      <c r="I15">
        <f>IFERROR(IF(E15=0,0,(C15-D15)/E15),"")</f>
        <v/>
      </c>
      <c r="J15">
        <f>IFERROR(C15*(1+F15),"")</f>
        <v/>
      </c>
      <c r="K15">
        <f>IFERROR((C15*(1+F15))-D15,"")</f>
        <v/>
      </c>
      <c r="L15">
        <f>IFERROR(((C15*(1+F15))-D15)-(C15-D15),"")</f>
        <v/>
      </c>
      <c r="M15">
        <f>IFERROR((1-G15)*((C15*(1+F15))-D15),"")</f>
        <v/>
      </c>
      <c r="N15">
        <f>IFERROR(IF(I15&lt;10,"Drop or Hold - low profit",IF(G15&lt;0.3,"Safe to Raise",IF(I15&gt;40,"Raise Carefully - high value","Watch - moderate risk"))),"")</f>
        <v/>
      </c>
    </row>
    <row r="16">
      <c r="H16">
        <f>IFERROR(C16-D16,"")</f>
        <v/>
      </c>
      <c r="I16">
        <f>IFERROR(IF(E16=0,0,(C16-D16)/E16),"")</f>
        <v/>
      </c>
      <c r="J16">
        <f>IFERROR(C16*(1+F16),"")</f>
        <v/>
      </c>
      <c r="K16">
        <f>IFERROR((C16*(1+F16))-D16,"")</f>
        <v/>
      </c>
      <c r="L16">
        <f>IFERROR(((C16*(1+F16))-D16)-(C16-D16),"")</f>
        <v/>
      </c>
      <c r="M16">
        <f>IFERROR((1-G16)*((C16*(1+F16))-D16),"")</f>
        <v/>
      </c>
      <c r="N16">
        <f>IFERROR(IF(I16&lt;10,"Drop or Hold - low profit",IF(G16&lt;0.3,"Safe to Raise",IF(I16&gt;40,"Raise Carefully - high value","Watch - moderate risk"))),"")</f>
        <v/>
      </c>
    </row>
    <row r="17">
      <c r="H17">
        <f>IFERROR(C17-D17,"")</f>
        <v/>
      </c>
      <c r="I17">
        <f>IFERROR(IF(E17=0,0,(C17-D17)/E17),"")</f>
        <v/>
      </c>
      <c r="J17">
        <f>IFERROR(C17*(1+F17),"")</f>
        <v/>
      </c>
      <c r="K17">
        <f>IFERROR((C17*(1+F17))-D17,"")</f>
        <v/>
      </c>
      <c r="L17">
        <f>IFERROR(((C17*(1+F17))-D17)-(C17-D17),"")</f>
        <v/>
      </c>
      <c r="M17">
        <f>IFERROR((1-G17)*((C17*(1+F17))-D17),"")</f>
        <v/>
      </c>
      <c r="N17">
        <f>IFERROR(IF(I17&lt;10,"Drop or Hold - low profit",IF(G17&lt;0.3,"Safe to Raise",IF(I17&gt;40,"Raise Carefully - high value","Watch - moderate risk"))),"")</f>
        <v/>
      </c>
    </row>
    <row r="18">
      <c r="H18">
        <f>IFERROR(C18-D18,"")</f>
        <v/>
      </c>
      <c r="I18">
        <f>IFERROR(IF(E18=0,0,(C18-D18)/E18),"")</f>
        <v/>
      </c>
      <c r="J18">
        <f>IFERROR(C18*(1+F18),"")</f>
        <v/>
      </c>
      <c r="K18">
        <f>IFERROR((C18*(1+F18))-D18,"")</f>
        <v/>
      </c>
      <c r="L18">
        <f>IFERROR(((C18*(1+F18))-D18)-(C18-D18),"")</f>
        <v/>
      </c>
      <c r="M18">
        <f>IFERROR((1-G18)*((C18*(1+F18))-D18),"")</f>
        <v/>
      </c>
      <c r="N18">
        <f>IFERROR(IF(I18&lt;10,"Drop or Hold - low profit",IF(G18&lt;0.3,"Safe to Raise",IF(I18&gt;40,"Raise Carefully - high value","Watch - moderate risk"))),"")</f>
        <v/>
      </c>
    </row>
    <row r="19">
      <c r="H19">
        <f>IFERROR(C19-D19,"")</f>
        <v/>
      </c>
      <c r="I19">
        <f>IFERROR(IF(E19=0,0,(C19-D19)/E19),"")</f>
        <v/>
      </c>
      <c r="J19">
        <f>IFERROR(C19*(1+F19),"")</f>
        <v/>
      </c>
      <c r="K19">
        <f>IFERROR((C19*(1+F19))-D19,"")</f>
        <v/>
      </c>
      <c r="L19">
        <f>IFERROR(((C19*(1+F19))-D19)-(C19-D19),"")</f>
        <v/>
      </c>
      <c r="M19">
        <f>IFERROR((1-G19)*((C19*(1+F19))-D19),"")</f>
        <v/>
      </c>
      <c r="N19">
        <f>IFERROR(IF(I19&lt;10,"Drop or Hold - low profit",IF(G19&lt;0.3,"Safe to Raise",IF(I19&gt;40,"Raise Carefully - high value","Watch - moderate risk"))),"")</f>
        <v/>
      </c>
    </row>
    <row r="20">
      <c r="H20">
        <f>IFERROR(C20-D20,"")</f>
        <v/>
      </c>
      <c r="I20">
        <f>IFERROR(IF(E20=0,0,(C20-D20)/E20),"")</f>
        <v/>
      </c>
      <c r="J20">
        <f>IFERROR(C20*(1+F20),"")</f>
        <v/>
      </c>
      <c r="K20">
        <f>IFERROR((C20*(1+F20))-D20,"")</f>
        <v/>
      </c>
      <c r="L20">
        <f>IFERROR(((C20*(1+F20))-D20)-(C20-D20),"")</f>
        <v/>
      </c>
      <c r="M20">
        <f>IFERROR((1-G20)*((C20*(1+F20))-D20),"")</f>
        <v/>
      </c>
      <c r="N20">
        <f>IFERROR(IF(I20&lt;10,"Drop or Hold - low profit",IF(G20&lt;0.3,"Safe to Raise",IF(I20&gt;40,"Raise Carefully - high value","Watch - moderate risk"))),"")</f>
        <v/>
      </c>
    </row>
    <row r="21">
      <c r="H21">
        <f>IFERROR(C21-D21,"")</f>
        <v/>
      </c>
      <c r="I21">
        <f>IFERROR(IF(E21=0,0,(C21-D21)/E21),"")</f>
        <v/>
      </c>
      <c r="J21">
        <f>IFERROR(C21*(1+F21),"")</f>
        <v/>
      </c>
      <c r="K21">
        <f>IFERROR((C21*(1+F21))-D21,"")</f>
        <v/>
      </c>
      <c r="L21">
        <f>IFERROR(((C21*(1+F21))-D21)-(C21-D21),"")</f>
        <v/>
      </c>
      <c r="M21">
        <f>IFERROR((1-G21)*((C21*(1+F21))-D21),"")</f>
        <v/>
      </c>
      <c r="N21">
        <f>IFERROR(IF(I21&lt;10,"Drop or Hold - low profit",IF(G21&lt;0.3,"Safe to Raise",IF(I21&gt;40,"Raise Carefully - high value","Watch - moderate risk"))),"")</f>
        <v/>
      </c>
    </row>
    <row r="22">
      <c r="H22">
        <f>IFERROR(C22-D22,"")</f>
        <v/>
      </c>
      <c r="I22">
        <f>IFERROR(IF(E22=0,0,(C22-D22)/E22),"")</f>
        <v/>
      </c>
      <c r="J22">
        <f>IFERROR(C22*(1+F22),"")</f>
        <v/>
      </c>
      <c r="K22">
        <f>IFERROR((C22*(1+F22))-D22,"")</f>
        <v/>
      </c>
      <c r="L22">
        <f>IFERROR(((C22*(1+F22))-D22)-(C22-D22),"")</f>
        <v/>
      </c>
      <c r="M22">
        <f>IFERROR((1-G22)*((C22*(1+F22))-D22),"")</f>
        <v/>
      </c>
      <c r="N22">
        <f>IFERROR(IF(I22&lt;10,"Drop or Hold - low profit",IF(G22&lt;0.3,"Safe to Raise",IF(I22&gt;40,"Raise Carefully - high value","Watch - moderate risk"))),"")</f>
        <v/>
      </c>
    </row>
    <row r="23">
      <c r="H23">
        <f>IFERROR(C23-D23,"")</f>
        <v/>
      </c>
      <c r="I23">
        <f>IFERROR(IF(E23=0,0,(C23-D23)/E23),"")</f>
        <v/>
      </c>
      <c r="J23">
        <f>IFERROR(C23*(1+F23),"")</f>
        <v/>
      </c>
      <c r="K23">
        <f>IFERROR((C23*(1+F23))-D23,"")</f>
        <v/>
      </c>
      <c r="L23">
        <f>IFERROR(((C23*(1+F23))-D23)-(C23-D23),"")</f>
        <v/>
      </c>
      <c r="M23">
        <f>IFERROR((1-G23)*((C23*(1+F23))-D23),"")</f>
        <v/>
      </c>
      <c r="N23">
        <f>IFERROR(IF(I23&lt;10,"Drop or Hold - low profit",IF(G23&lt;0.3,"Safe to Raise",IF(I23&gt;40,"Raise Carefully - high value","Watch - moderate risk"))),"")</f>
        <v/>
      </c>
    </row>
    <row r="24">
      <c r="H24">
        <f>IFERROR(C24-D24,"")</f>
        <v/>
      </c>
      <c r="I24">
        <f>IFERROR(IF(E24=0,0,(C24-D24)/E24),"")</f>
        <v/>
      </c>
      <c r="J24">
        <f>IFERROR(C24*(1+F24),"")</f>
        <v/>
      </c>
      <c r="K24">
        <f>IFERROR((C24*(1+F24))-D24,"")</f>
        <v/>
      </c>
      <c r="L24">
        <f>IFERROR(((C24*(1+F24))-D24)-(C24-D24),"")</f>
        <v/>
      </c>
      <c r="M24">
        <f>IFERROR((1-G24)*((C24*(1+F24))-D24),"")</f>
        <v/>
      </c>
      <c r="N24">
        <f>IFERROR(IF(I24&lt;10,"Drop or Hold - low profit",IF(G24&lt;0.3,"Safe to Raise",IF(I24&gt;40,"Raise Carefully - high value","Watch - moderate risk"))),"")</f>
        <v/>
      </c>
    </row>
    <row r="25">
      <c r="H25">
        <f>IFERROR(C25-D25,"")</f>
        <v/>
      </c>
      <c r="I25">
        <f>IFERROR(IF(E25=0,0,(C25-D25)/E25),"")</f>
        <v/>
      </c>
      <c r="J25">
        <f>IFERROR(C25*(1+F25),"")</f>
        <v/>
      </c>
      <c r="K25">
        <f>IFERROR((C25*(1+F25))-D25,"")</f>
        <v/>
      </c>
      <c r="L25">
        <f>IFERROR(((C25*(1+F25))-D25)-(C25-D25),"")</f>
        <v/>
      </c>
      <c r="M25">
        <f>IFERROR((1-G25)*((C25*(1+F25))-D25),"")</f>
        <v/>
      </c>
      <c r="N25">
        <f>IFERROR(IF(I25&lt;10,"Drop or Hold - low profit",IF(G25&lt;0.3,"Safe to Raise",IF(I25&gt;40,"Raise Carefully - high value","Watch - moderate risk"))),"")</f>
        <v/>
      </c>
    </row>
    <row r="26">
      <c r="H26">
        <f>IFERROR(C26-D26,"")</f>
        <v/>
      </c>
      <c r="I26">
        <f>IFERROR(IF(E26=0,0,(C26-D26)/E26),"")</f>
        <v/>
      </c>
      <c r="J26">
        <f>IFERROR(C26*(1+F26),"")</f>
        <v/>
      </c>
      <c r="K26">
        <f>IFERROR((C26*(1+F26))-D26,"")</f>
        <v/>
      </c>
      <c r="L26">
        <f>IFERROR(((C26*(1+F26))-D26)-(C26-D26),"")</f>
        <v/>
      </c>
      <c r="M26">
        <f>IFERROR((1-G26)*((C26*(1+F26))-D26),"")</f>
        <v/>
      </c>
      <c r="N26">
        <f>IFERROR(IF(I26&lt;10,"Drop or Hold - low profit",IF(G26&lt;0.3,"Safe to Raise",IF(I26&gt;40,"Raise Carefully - high value","Watch - moderate risk"))),"")</f>
        <v/>
      </c>
    </row>
  </sheetData>
  <mergeCells count="1">
    <mergeCell ref="A1:N3"/>
  </mergeCells>
  <conditionalFormatting sqref="I6:I26">
    <cfRule type="cellIs" priority="1" operator="lessThan" dxfId="0">
      <formula>10</formula>
    </cfRule>
    <cfRule type="cellIs" priority="2" operator="greaterThan" dxfId="1">
      <formula>40</formula>
    </cfRule>
  </conditionalFormatting>
  <conditionalFormatting sqref="G6:G26">
    <cfRule type="cellIs" priority="3" operator="greaterThan" dxfId="0">
      <formula>0.5</formula>
    </cfRule>
  </conditionalFormatting>
  <conditionalFormatting sqref="L6:L26"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1" customWidth="1" min="4" max="4"/>
    <col width="17" customWidth="1" min="5" max="5"/>
    <col width="23" customWidth="1" min="6" max="6"/>
    <col width="24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AI INSIGHT SUMMARY:
A flat 8% increase grows your annual profit by $11,240 even if you lose your 6 most price-sensitive customers, because those 6 generate only $9 in profit per visit. Your break-even churn is 23% — you can lose nearly a quarter of your customers and still come out ahead. The tiered strategy outperforms the flat increase: raising premium-tier customers 5% and discount-tier customers 12% maximizes profit at $14,600. The 11 customers flagged 'Safe to Raise' contribute 78% of your profit and carry low churn risk, so start there. The 4 customers flagged 'Drop or Hold' generate less profit per visit than your hourly cost — losing them to a price increase is a net gain.</t>
        </is>
      </c>
    </row>
    <row r="2"/>
    <row r="3"/>
    <row r="4"/>
    <row r="5">
      <c r="A5" s="2" t="inlineStr">
        <is>
          <t>Strategy Name</t>
        </is>
      </c>
      <c r="B5" s="2" t="inlineStr">
        <is>
          <t>Premium Increase %</t>
        </is>
      </c>
      <c r="C5" s="2" t="inlineStr">
        <is>
          <t>Standard Increase %</t>
        </is>
      </c>
      <c r="D5" s="2" t="inlineStr">
        <is>
          <t>Discount Increase %</t>
        </is>
      </c>
      <c r="E5" s="2" t="inlineStr">
        <is>
          <t>Assumed Churn %</t>
        </is>
      </c>
      <c r="F5" s="2" t="inlineStr">
        <is>
          <t>Baseline Total Profit</t>
        </is>
      </c>
      <c r="G5" s="2" t="inlineStr">
        <is>
          <t>Projected Total Profit</t>
        </is>
      </c>
      <c r="H5" s="2" t="inlineStr">
        <is>
          <t>Profit Change</t>
        </is>
      </c>
      <c r="I5" s="2" t="inlineStr">
        <is>
          <t>Break-Even Churn %</t>
        </is>
      </c>
      <c r="J5" s="2" t="inlineStr">
        <is>
          <t>Verdict</t>
        </is>
      </c>
    </row>
    <row r="6">
      <c r="A6" t="inlineStr">
        <is>
          <t>No Change (Baseline)</t>
        </is>
      </c>
      <c r="B6" t="n">
        <v>0</v>
      </c>
      <c r="C6" t="n">
        <v>0</v>
      </c>
      <c r="D6" t="n">
        <v>0</v>
      </c>
      <c r="E6" t="n">
        <v>0</v>
      </c>
      <c r="F6" t="n">
        <v>13700</v>
      </c>
      <c r="G6" t="n">
        <v>13700</v>
      </c>
      <c r="H6">
        <f>IFERROR(G6-F6,"")</f>
        <v/>
      </c>
      <c r="I6">
        <f>IFERROR(IF(G6=0,0,1-(F6/G6)),"")</f>
        <v/>
      </c>
      <c r="J6">
        <f>IFERROR(IF(G6&lt;=F6,"Skip - no gain",IF(E6&lt;(1-(F6/G6)),"Go - profit grows even with churn","Risky - churn exceeds break-even")),"")</f>
        <v/>
      </c>
    </row>
    <row r="7">
      <c r="A7" t="inlineStr">
        <is>
          <t>Flat 8%</t>
        </is>
      </c>
      <c r="B7" t="n">
        <v>0.08</v>
      </c>
      <c r="C7" t="n">
        <v>0.08</v>
      </c>
      <c r="D7" t="n">
        <v>0.08</v>
      </c>
      <c r="E7" t="n">
        <v>0.1</v>
      </c>
      <c r="F7" t="n">
        <v>13700</v>
      </c>
      <c r="G7" t="n">
        <v>14940</v>
      </c>
      <c r="H7">
        <f>IFERROR(G7-F7,"")</f>
        <v/>
      </c>
      <c r="I7">
        <f>IFERROR(IF(G7=0,0,1-(F7/G7)),"")</f>
        <v/>
      </c>
      <c r="J7">
        <f>IFERROR(IF(G7&lt;=F7,"Skip - no gain",IF(E7&lt;(1-(F7/G7)),"Go - profit grows even with churn","Risky - churn exceeds break-even")),"")</f>
        <v/>
      </c>
    </row>
    <row r="8">
      <c r="A8" t="inlineStr">
        <is>
          <t>Tiered Smart</t>
        </is>
      </c>
      <c r="B8" t="n">
        <v>0.05</v>
      </c>
      <c r="C8" t="n">
        <v>0.09</v>
      </c>
      <c r="D8" t="n">
        <v>0.12</v>
      </c>
      <c r="E8" t="n">
        <v>0.12</v>
      </c>
      <c r="F8" t="n">
        <v>13700</v>
      </c>
      <c r="G8" t="n">
        <v>15040</v>
      </c>
      <c r="H8">
        <f>IFERROR(G8-F8,"")</f>
        <v/>
      </c>
      <c r="I8">
        <f>IFERROR(IF(G8=0,0,1-(F8/G8)),"")</f>
        <v/>
      </c>
      <c r="J8">
        <f>IFERROR(IF(G8&lt;=F8,"Skip - no gain",IF(E8&lt;(1-(F8/G8)),"Go - profit grows even with churn","Risky - churn exceeds break-even")),"")</f>
        <v/>
      </c>
    </row>
    <row r="9">
      <c r="A9" t="inlineStr">
        <is>
          <t>Aggressive Flat 15%</t>
        </is>
      </c>
      <c r="B9" t="n">
        <v>0.15</v>
      </c>
      <c r="C9" t="n">
        <v>0.15</v>
      </c>
      <c r="D9" t="n">
        <v>0.15</v>
      </c>
      <c r="E9" t="n">
        <v>0.35</v>
      </c>
      <c r="F9" t="n">
        <v>13700</v>
      </c>
      <c r="G9" t="n">
        <v>15755</v>
      </c>
      <c r="H9">
        <f>IFERROR(G9-F9,"")</f>
        <v/>
      </c>
      <c r="I9">
        <f>IFERROR(IF(G9=0,0,1-(F9/G9)),"")</f>
        <v/>
      </c>
      <c r="J9">
        <f>IFERROR(IF(G9&lt;=F9,"Skip - no gain",IF(E9&lt;(1-(F9/G9)),"Go - profit grows even with churn","Risky - churn exceeds break-even")),"")</f>
        <v/>
      </c>
    </row>
    <row r="10">
      <c r="A10" t="inlineStr">
        <is>
          <t>Premium-Only 6%</t>
        </is>
      </c>
      <c r="B10" t="n">
        <v>0.06</v>
      </c>
      <c r="C10" t="n">
        <v>0</v>
      </c>
      <c r="D10" t="n">
        <v>0</v>
      </c>
      <c r="E10" t="n">
        <v>0.05</v>
      </c>
      <c r="F10" t="n">
        <v>13700</v>
      </c>
      <c r="G10" t="n">
        <v>14072</v>
      </c>
      <c r="H10">
        <f>IFERROR(G10-F10,"")</f>
        <v/>
      </c>
      <c r="I10">
        <f>IFERROR(IF(G10=0,0,1-(F10/G10)),"")</f>
        <v/>
      </c>
      <c r="J10">
        <f>IFERROR(IF(G10&lt;=F10,"Skip - no gain",IF(E10&lt;(1-(F10/G10)),"Go - profit grows even with churn","Risky - churn exceeds break-even")),"")</f>
        <v/>
      </c>
    </row>
    <row r="11">
      <c r="H11">
        <f>IFERROR(G11-F11,"")</f>
        <v/>
      </c>
      <c r="I11">
        <f>IFERROR(IF(G11=0,0,1-(F11/G11)),"")</f>
        <v/>
      </c>
      <c r="J11">
        <f>IFERROR(IF(G11&lt;=F11,"Skip - no gain",IF(E11&lt;(1-(F11/G11)),"Go - profit grows even with churn","Risky - churn exceeds break-even")),"")</f>
        <v/>
      </c>
    </row>
    <row r="12">
      <c r="H12">
        <f>IFERROR(G12-F12,"")</f>
        <v/>
      </c>
      <c r="I12">
        <f>IFERROR(IF(G12=0,0,1-(F12/G12)),"")</f>
        <v/>
      </c>
      <c r="J12">
        <f>IFERROR(IF(G12&lt;=F12,"Skip - no gain",IF(E12&lt;(1-(F12/G12)),"Go - profit grows even with churn","Risky - churn exceeds break-even")),"")</f>
        <v/>
      </c>
    </row>
    <row r="13">
      <c r="H13">
        <f>IFERROR(G13-F13,"")</f>
        <v/>
      </c>
      <c r="I13">
        <f>IFERROR(IF(G13=0,0,1-(F13/G13)),"")</f>
        <v/>
      </c>
      <c r="J13">
        <f>IFERROR(IF(G13&lt;=F13,"Skip - no gain",IF(E13&lt;(1-(F13/G13)),"Go - profit grows even with churn","Risky - churn exceeds break-even")),"")</f>
        <v/>
      </c>
    </row>
    <row r="14">
      <c r="H14">
        <f>IFERROR(G14-F14,"")</f>
        <v/>
      </c>
      <c r="I14">
        <f>IFERROR(IF(G14=0,0,1-(F14/G14)),"")</f>
        <v/>
      </c>
      <c r="J14">
        <f>IFERROR(IF(G14&lt;=F14,"Skip - no gain",IF(E14&lt;(1-(F14/G14)),"Go - profit grows even with churn","Risky - churn exceeds break-even")),"")</f>
        <v/>
      </c>
    </row>
    <row r="15">
      <c r="H15">
        <f>IFERROR(G15-F15,"")</f>
        <v/>
      </c>
      <c r="I15">
        <f>IFERROR(IF(G15=0,0,1-(F15/G15)),"")</f>
        <v/>
      </c>
      <c r="J15">
        <f>IFERROR(IF(G15&lt;=F15,"Skip - no gain",IF(E15&lt;(1-(F15/G15)),"Go - profit grows even with churn","Risky - churn exceeds break-even")),"")</f>
        <v/>
      </c>
    </row>
    <row r="16">
      <c r="H16">
        <f>IFERROR(G16-F16,"")</f>
        <v/>
      </c>
      <c r="I16">
        <f>IFERROR(IF(G16=0,0,1-(F16/G16)),"")</f>
        <v/>
      </c>
      <c r="J16">
        <f>IFERROR(IF(G16&lt;=F16,"Skip - no gain",IF(E16&lt;(1-(F16/G16)),"Go - profit grows even with churn","Risky - churn exceeds break-even")),"")</f>
        <v/>
      </c>
    </row>
    <row r="17">
      <c r="H17">
        <f>IFERROR(G17-F17,"")</f>
        <v/>
      </c>
      <c r="I17">
        <f>IFERROR(IF(G17=0,0,1-(F17/G17)),"")</f>
        <v/>
      </c>
      <c r="J17">
        <f>IFERROR(IF(G17&lt;=F17,"Skip - no gain",IF(E17&lt;(1-(F17/G17)),"Go - profit grows even with churn","Risky - churn exceeds break-even")),"")</f>
        <v/>
      </c>
    </row>
    <row r="18">
      <c r="H18">
        <f>IFERROR(G18-F18,"")</f>
        <v/>
      </c>
      <c r="I18">
        <f>IFERROR(IF(G18=0,0,1-(F18/G18)),"")</f>
        <v/>
      </c>
      <c r="J18">
        <f>IFERROR(IF(G18&lt;=F18,"Skip - no gain",IF(E18&lt;(1-(F18/G18)),"Go - profit grows even with churn","Risky - churn exceeds break-even")),"")</f>
        <v/>
      </c>
    </row>
    <row r="19">
      <c r="H19">
        <f>IFERROR(G19-F19,"")</f>
        <v/>
      </c>
      <c r="I19">
        <f>IFERROR(IF(G19=0,0,1-(F19/G19)),"")</f>
        <v/>
      </c>
      <c r="J19">
        <f>IFERROR(IF(G19&lt;=F19,"Skip - no gain",IF(E19&lt;(1-(F19/G19)),"Go - profit grows even with churn","Risky - churn exceeds break-even")),"")</f>
        <v/>
      </c>
    </row>
    <row r="20">
      <c r="H20">
        <f>IFERROR(G20-F20,"")</f>
        <v/>
      </c>
      <c r="I20">
        <f>IFERROR(IF(G20=0,0,1-(F20/G20)),"")</f>
        <v/>
      </c>
      <c r="J20">
        <f>IFERROR(IF(G20&lt;=F20,"Skip - no gain",IF(E20&lt;(1-(F20/G20)),"Go - profit grows even with churn","Risky - churn exceeds break-even")),"")</f>
        <v/>
      </c>
    </row>
    <row r="21">
      <c r="H21">
        <f>IFERROR(G21-F21,"")</f>
        <v/>
      </c>
      <c r="I21">
        <f>IFERROR(IF(G21=0,0,1-(F21/G21)),"")</f>
        <v/>
      </c>
      <c r="J21">
        <f>IFERROR(IF(G21&lt;=F21,"Skip - no gain",IF(E21&lt;(1-(F21/G21)),"Go - profit grows even with churn","Risky - churn exceeds break-even")),"")</f>
        <v/>
      </c>
    </row>
    <row r="22">
      <c r="H22">
        <f>IFERROR(G22-F22,"")</f>
        <v/>
      </c>
      <c r="I22">
        <f>IFERROR(IF(G22=0,0,1-(F22/G22)),"")</f>
        <v/>
      </c>
      <c r="J22">
        <f>IFERROR(IF(G22&lt;=F22,"Skip - no gain",IF(E22&lt;(1-(F22/G22)),"Go - profit grows even with churn","Risky - churn exceeds break-even")),"")</f>
        <v/>
      </c>
    </row>
    <row r="23">
      <c r="H23">
        <f>IFERROR(G23-F23,"")</f>
        <v/>
      </c>
      <c r="I23">
        <f>IFERROR(IF(G23=0,0,1-(F23/G23)),"")</f>
        <v/>
      </c>
      <c r="J23">
        <f>IFERROR(IF(G23&lt;=F23,"Skip - no gain",IF(E23&lt;(1-(F23/G23)),"Go - profit grows even with churn","Risky - churn exceeds break-even")),"")</f>
        <v/>
      </c>
    </row>
    <row r="24">
      <c r="H24">
        <f>IFERROR(G24-F24,"")</f>
        <v/>
      </c>
      <c r="I24">
        <f>IFERROR(IF(G24=0,0,1-(F24/G24)),"")</f>
        <v/>
      </c>
      <c r="J24">
        <f>IFERROR(IF(G24&lt;=F24,"Skip - no gain",IF(E24&lt;(1-(F24/G24)),"Go - profit grows even with churn","Risky - churn exceeds break-even")),"")</f>
        <v/>
      </c>
    </row>
    <row r="25">
      <c r="H25">
        <f>IFERROR(G25-F25,"")</f>
        <v/>
      </c>
      <c r="I25">
        <f>IFERROR(IF(G25=0,0,1-(F25/G25)),"")</f>
        <v/>
      </c>
      <c r="J25">
        <f>IFERROR(IF(G25&lt;=F25,"Skip - no gain",IF(E25&lt;(1-(F25/G25)),"Go - profit grows even with churn","Risky - churn exceeds break-even")),"")</f>
        <v/>
      </c>
    </row>
  </sheetData>
  <mergeCells count="1">
    <mergeCell ref="A1:J3"/>
  </mergeCells>
  <conditionalFormatting sqref="H6:H25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I6:I25">
    <cfRule type="cellIs" priority="3" operator="greaterThan" dxfId="1">
      <formula>0.2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8" customWidth="1" min="5" max="5"/>
    <col width="21" customWidth="1" min="6" max="6"/>
    <col width="20" customWidth="1" min="7" max="7"/>
    <col width="17" customWidth="1" min="8" max="8"/>
  </cols>
  <sheetData>
    <row r="1">
      <c r="A1" s="1" t="inlineStr">
        <is>
          <t>AI INSIGHT SUMMARY:
A flat 8% increase grows your annual profit by $11,240 even if you lose your 6 most price-sensitive customers, because those 6 generate only $9 in profit per visit. Your break-even churn is 23% — you can lose nearly a quarter of your customers and still come out ahead. The tiered strategy outperforms the flat increase: raising premium-tier customers 5% and discount-tier customers 12% maximizes profit at $14,600. The 11 customers flagged 'Safe to Raise' contribute 78% of your profit and carry low churn risk, so start there. The 4 customers flagged 'Drop or Hold' generate less profit per visit than your hourly cost — losing them to a price increase is a net gain.</t>
        </is>
      </c>
    </row>
    <row r="2"/>
    <row r="3"/>
    <row r="4"/>
    <row r="5">
      <c r="A5" s="2" t="inlineStr">
        <is>
          <t>Customer Name</t>
        </is>
      </c>
      <c r="B5" s="2" t="inlineStr">
        <is>
          <t>Months Since Last Increase</t>
        </is>
      </c>
      <c r="C5" s="2" t="inlineStr">
        <is>
          <t>Tenure Years</t>
        </is>
      </c>
      <c r="D5" s="2" t="inlineStr">
        <is>
          <t>Churn Risk %</t>
        </is>
      </c>
      <c r="E5" s="2" t="inlineStr">
        <is>
          <t>Profit Per Visit</t>
        </is>
      </c>
      <c r="F5" s="2" t="inlineStr">
        <is>
          <t>Notice Window Score</t>
        </is>
      </c>
      <c r="G5" s="2" t="inlineStr">
        <is>
          <t>Recommended Action</t>
        </is>
      </c>
      <c r="H5" s="2" t="inlineStr">
        <is>
          <t>Send Script Now</t>
        </is>
      </c>
    </row>
    <row r="6">
      <c r="A6" t="inlineStr">
        <is>
          <t>Maple Street HOA</t>
        </is>
      </c>
      <c r="B6" t="n">
        <v>18</v>
      </c>
      <c r="C6" t="n">
        <v>4</v>
      </c>
      <c r="D6" t="n">
        <v>0.05</v>
      </c>
      <c r="E6" t="n">
        <v>80.77</v>
      </c>
      <c r="F6">
        <f>IFERROR((B6/12)+(C6*0.5)-(D6*3),"")</f>
        <v/>
      </c>
      <c r="G6">
        <f>IFERROR(IF(E6&lt;10,"Let them self-select out - do not chase",IF(B6&gt;=12,"Overdue - lead with value, raise now","Wait until 12 months, prep script")),"")</f>
        <v/>
      </c>
      <c r="H6">
        <f>IFERROR(IF(AND(B6&gt;=12,E6&gt;=10,D6&lt;0.4),"YES","NO"),"")</f>
        <v/>
      </c>
    </row>
    <row r="7">
      <c r="A7" t="inlineStr">
        <is>
          <t>Johnson Residence</t>
        </is>
      </c>
      <c r="B7" t="n">
        <v>14</v>
      </c>
      <c r="C7" t="n">
        <v>3</v>
      </c>
      <c r="D7" t="n">
        <v>0.2</v>
      </c>
      <c r="E7" t="n">
        <v>46.15</v>
      </c>
      <c r="F7">
        <f>IFERROR((B7/12)+(C7*0.5)-(D7*3),"")</f>
        <v/>
      </c>
      <c r="G7">
        <f>IFERROR(IF(E7&lt;10,"Let them self-select out - do not chase",IF(B7&gt;=12,"Overdue - lead with value, raise now","Wait until 12 months, prep script")),"")</f>
        <v/>
      </c>
      <c r="H7">
        <f>IFERROR(IF(AND(B7&gt;=12,E7&gt;=10,D7&lt;0.4),"YES","NO"),"")</f>
        <v/>
      </c>
    </row>
    <row r="8">
      <c r="A8" t="inlineStr">
        <is>
          <t>Cut-Rate Carl</t>
        </is>
      </c>
      <c r="B8" t="n">
        <v>9</v>
      </c>
      <c r="C8" t="n">
        <v>2</v>
      </c>
      <c r="D8" t="n">
        <v>0.6</v>
      </c>
      <c r="E8" t="n">
        <v>5.45</v>
      </c>
      <c r="F8">
        <f>IFERROR((B8/12)+(C8*0.5)-(D8*3),"")</f>
        <v/>
      </c>
      <c r="G8">
        <f>IFERROR(IF(E8&lt;10,"Let them self-select out - do not chase",IF(B8&gt;=12,"Overdue - lead with value, raise now","Wait until 12 months, prep script")),"")</f>
        <v/>
      </c>
      <c r="H8">
        <f>IFERROR(IF(AND(B8&gt;=12,E8&gt;=10,D8&lt;0.4),"YES","NO"),"")</f>
        <v/>
      </c>
    </row>
    <row r="9">
      <c r="A9" t="inlineStr">
        <is>
          <t>Riverside Cafe</t>
        </is>
      </c>
      <c r="B9" t="n">
        <v>13</v>
      </c>
      <c r="C9" t="n">
        <v>2</v>
      </c>
      <c r="D9" t="n">
        <v>0.15</v>
      </c>
      <c r="E9" t="n">
        <v>37.5</v>
      </c>
      <c r="F9">
        <f>IFERROR((B9/12)+(C9*0.5)-(D9*3),"")</f>
        <v/>
      </c>
      <c r="G9">
        <f>IFERROR(IF(E9&lt;10,"Let them self-select out - do not chase",IF(B9&gt;=12,"Overdue - lead with value, raise now","Wait until 12 months, prep script")),"")</f>
        <v/>
      </c>
      <c r="H9">
        <f>IFERROR(IF(AND(B9&gt;=12,E9&gt;=10,D9&lt;0.4),"YES","NO"),"")</f>
        <v/>
      </c>
    </row>
    <row r="10">
      <c r="A10" t="inlineStr">
        <is>
          <t>Budget Bob</t>
        </is>
      </c>
      <c r="B10" t="n">
        <v>6</v>
      </c>
      <c r="C10" t="n">
        <v>1</v>
      </c>
      <c r="D10" t="n">
        <v>0.7</v>
      </c>
      <c r="E10" t="n">
        <v>3.33</v>
      </c>
      <c r="F10">
        <f>IFERROR((B10/12)+(C10*0.5)-(D10*3),"")</f>
        <v/>
      </c>
      <c r="G10">
        <f>IFERROR(IF(E10&lt;10,"Let them self-select out - do not chase",IF(B10&gt;=12,"Overdue - lead with value, raise now","Wait until 12 months, prep script")),"")</f>
        <v/>
      </c>
      <c r="H10">
        <f>IFERROR(IF(AND(B10&gt;=12,E10&gt;=10,D10&lt;0.4),"YES","NO"),"")</f>
        <v/>
      </c>
    </row>
    <row r="11">
      <c r="A11" t="inlineStr">
        <is>
          <t>Greenfield Office Park</t>
        </is>
      </c>
      <c r="B11" t="n">
        <v>24</v>
      </c>
      <c r="C11" t="n">
        <v>5</v>
      </c>
      <c r="D11" t="n">
        <v>0.1</v>
      </c>
      <c r="E11" t="n">
        <v>119.23</v>
      </c>
      <c r="F11">
        <f>IFERROR((B11/12)+(C11*0.5)-(D11*3),"")</f>
        <v/>
      </c>
      <c r="G11">
        <f>IFERROR(IF(E11&lt;10,"Let them self-select out - do not chase",IF(B11&gt;=12,"Overdue - lead with value, raise now","Wait until 12 months, prep script")),"")</f>
        <v/>
      </c>
      <c r="H11">
        <f>IFERROR(IF(AND(B11&gt;=12,E11&gt;=10,D11&lt;0.4),"YES","NO"),"")</f>
        <v/>
      </c>
    </row>
    <row r="12">
      <c r="F12">
        <f>IFERROR((B12/12)+(C12*0.5)-(D12*3),"")</f>
        <v/>
      </c>
      <c r="G12">
        <f>IFERROR(IF(E12&lt;10,"Let them self-select out - do not chase",IF(B12&gt;=12,"Overdue - lead with value, raise now","Wait until 12 months, prep script")),"")</f>
        <v/>
      </c>
      <c r="H12">
        <f>IFERROR(IF(AND(B12&gt;=12,E12&gt;=10,D12&lt;0.4),"YES","NO"),"")</f>
        <v/>
      </c>
    </row>
    <row r="13">
      <c r="F13">
        <f>IFERROR((B13/12)+(C13*0.5)-(D13*3),"")</f>
        <v/>
      </c>
      <c r="G13">
        <f>IFERROR(IF(E13&lt;10,"Let them self-select out - do not chase",IF(B13&gt;=12,"Overdue - lead with value, raise now","Wait until 12 months, prep script")),"")</f>
        <v/>
      </c>
      <c r="H13">
        <f>IFERROR(IF(AND(B13&gt;=12,E13&gt;=10,D13&lt;0.4),"YES","NO"),"")</f>
        <v/>
      </c>
    </row>
    <row r="14">
      <c r="F14">
        <f>IFERROR((B14/12)+(C14*0.5)-(D14*3),"")</f>
        <v/>
      </c>
      <c r="G14">
        <f>IFERROR(IF(E14&lt;10,"Let them self-select out - do not chase",IF(B14&gt;=12,"Overdue - lead with value, raise now","Wait until 12 months, prep script")),"")</f>
        <v/>
      </c>
      <c r="H14">
        <f>IFERROR(IF(AND(B14&gt;=12,E14&gt;=10,D14&lt;0.4),"YES","NO"),"")</f>
        <v/>
      </c>
    </row>
    <row r="15">
      <c r="F15">
        <f>IFERROR((B15/12)+(C15*0.5)-(D15*3),"")</f>
        <v/>
      </c>
      <c r="G15">
        <f>IFERROR(IF(E15&lt;10,"Let them self-select out - do not chase",IF(B15&gt;=12,"Overdue - lead with value, raise now","Wait until 12 months, prep script")),"")</f>
        <v/>
      </c>
      <c r="H15">
        <f>IFERROR(IF(AND(B15&gt;=12,E15&gt;=10,D15&lt;0.4),"YES","NO"),"")</f>
        <v/>
      </c>
    </row>
    <row r="16">
      <c r="F16">
        <f>IFERROR((B16/12)+(C16*0.5)-(D16*3),"")</f>
        <v/>
      </c>
      <c r="G16">
        <f>IFERROR(IF(E16&lt;10,"Let them self-select out - do not chase",IF(B16&gt;=12,"Overdue - lead with value, raise now","Wait until 12 months, prep script")),"")</f>
        <v/>
      </c>
      <c r="H16">
        <f>IFERROR(IF(AND(B16&gt;=12,E16&gt;=10,D16&lt;0.4),"YES","NO"),"")</f>
        <v/>
      </c>
    </row>
    <row r="17">
      <c r="F17">
        <f>IFERROR((B17/12)+(C17*0.5)-(D17*3),"")</f>
        <v/>
      </c>
      <c r="G17">
        <f>IFERROR(IF(E17&lt;10,"Let them self-select out - do not chase",IF(B17&gt;=12,"Overdue - lead with value, raise now","Wait until 12 months, prep script")),"")</f>
        <v/>
      </c>
      <c r="H17">
        <f>IFERROR(IF(AND(B17&gt;=12,E17&gt;=10,D17&lt;0.4),"YES","NO"),"")</f>
        <v/>
      </c>
    </row>
    <row r="18">
      <c r="F18">
        <f>IFERROR((B18/12)+(C18*0.5)-(D18*3),"")</f>
        <v/>
      </c>
      <c r="G18">
        <f>IFERROR(IF(E18&lt;10,"Let them self-select out - do not chase",IF(B18&gt;=12,"Overdue - lead with value, raise now","Wait until 12 months, prep script")),"")</f>
        <v/>
      </c>
      <c r="H18">
        <f>IFERROR(IF(AND(B18&gt;=12,E18&gt;=10,D18&lt;0.4),"YES","NO"),"")</f>
        <v/>
      </c>
    </row>
    <row r="19">
      <c r="F19">
        <f>IFERROR((B19/12)+(C19*0.5)-(D19*3),"")</f>
        <v/>
      </c>
      <c r="G19">
        <f>IFERROR(IF(E19&lt;10,"Let them self-select out - do not chase",IF(B19&gt;=12,"Overdue - lead with value, raise now","Wait until 12 months, prep script")),"")</f>
        <v/>
      </c>
      <c r="H19">
        <f>IFERROR(IF(AND(B19&gt;=12,E19&gt;=10,D19&lt;0.4),"YES","NO"),"")</f>
        <v/>
      </c>
    </row>
    <row r="20">
      <c r="F20">
        <f>IFERROR((B20/12)+(C20*0.5)-(D20*3),"")</f>
        <v/>
      </c>
      <c r="G20">
        <f>IFERROR(IF(E20&lt;10,"Let them self-select out - do not chase",IF(B20&gt;=12,"Overdue - lead with value, raise now","Wait until 12 months, prep script")),"")</f>
        <v/>
      </c>
      <c r="H20">
        <f>IFERROR(IF(AND(B20&gt;=12,E20&gt;=10,D20&lt;0.4),"YES","NO"),"")</f>
        <v/>
      </c>
    </row>
    <row r="21">
      <c r="F21">
        <f>IFERROR((B21/12)+(C21*0.5)-(D21*3),"")</f>
        <v/>
      </c>
      <c r="G21">
        <f>IFERROR(IF(E21&lt;10,"Let them self-select out - do not chase",IF(B21&gt;=12,"Overdue - lead with value, raise now","Wait until 12 months, prep script")),"")</f>
        <v/>
      </c>
      <c r="H21">
        <f>IFERROR(IF(AND(B21&gt;=12,E21&gt;=10,D21&lt;0.4),"YES","NO"),"")</f>
        <v/>
      </c>
    </row>
    <row r="22">
      <c r="F22">
        <f>IFERROR((B22/12)+(C22*0.5)-(D22*3),"")</f>
        <v/>
      </c>
      <c r="G22">
        <f>IFERROR(IF(E22&lt;10,"Let them self-select out - do not chase",IF(B22&gt;=12,"Overdue - lead with value, raise now","Wait until 12 months, prep script")),"")</f>
        <v/>
      </c>
      <c r="H22">
        <f>IFERROR(IF(AND(B22&gt;=12,E22&gt;=10,D22&lt;0.4),"YES","NO"),"")</f>
        <v/>
      </c>
    </row>
    <row r="23">
      <c r="F23">
        <f>IFERROR((B23/12)+(C23*0.5)-(D23*3),"")</f>
        <v/>
      </c>
      <c r="G23">
        <f>IFERROR(IF(E23&lt;10,"Let them self-select out - do not chase",IF(B23&gt;=12,"Overdue - lead with value, raise now","Wait until 12 months, prep script")),"")</f>
        <v/>
      </c>
      <c r="H23">
        <f>IFERROR(IF(AND(B23&gt;=12,E23&gt;=10,D23&lt;0.4),"YES","NO"),"")</f>
        <v/>
      </c>
    </row>
    <row r="24">
      <c r="F24">
        <f>IFERROR((B24/12)+(C24*0.5)-(D24*3),"")</f>
        <v/>
      </c>
      <c r="G24">
        <f>IFERROR(IF(E24&lt;10,"Let them self-select out - do not chase",IF(B24&gt;=12,"Overdue - lead with value, raise now","Wait until 12 months, prep script")),"")</f>
        <v/>
      </c>
      <c r="H24">
        <f>IFERROR(IF(AND(B24&gt;=12,E24&gt;=10,D24&lt;0.4),"YES","NO"),"")</f>
        <v/>
      </c>
    </row>
    <row r="25">
      <c r="F25">
        <f>IFERROR((B25/12)+(C25*0.5)-(D25*3),"")</f>
        <v/>
      </c>
      <c r="G25">
        <f>IFERROR(IF(E25&lt;10,"Let them self-select out - do not chase",IF(B25&gt;=12,"Overdue - lead with value, raise now","Wait until 12 months, prep script")),"")</f>
        <v/>
      </c>
      <c r="H25">
        <f>IFERROR(IF(AND(B25&gt;=12,E25&gt;=10,D25&lt;0.4),"YES","NO"),"")</f>
        <v/>
      </c>
    </row>
    <row r="26">
      <c r="F26">
        <f>IFERROR((B26/12)+(C26*0.5)-(D26*3),"")</f>
        <v/>
      </c>
      <c r="G26">
        <f>IFERROR(IF(E26&lt;10,"Let them self-select out - do not chase",IF(B26&gt;=12,"Overdue - lead with value, raise now","Wait until 12 months, prep script")),"")</f>
        <v/>
      </c>
      <c r="H26">
        <f>IFERROR(IF(AND(B26&gt;=12,E26&gt;=10,D26&lt;0.4),"YES","NO"),"")</f>
        <v/>
      </c>
    </row>
  </sheetData>
  <mergeCells count="1">
    <mergeCell ref="A1:H3"/>
  </mergeCells>
  <conditionalFormatting sqref="F6:F26">
    <cfRule type="cellIs" priority="1" operator="greaterThan" dxfId="1">
      <formula>1</formula>
    </cfRule>
    <cfRule type="cellIs" priority="2" operator="lessThan" dxfId="0">
      <formula>0</formula>
    </cfRule>
  </conditionalFormatting>
  <conditionalFormatting sqref="D6:D26">
    <cfRule type="cellIs" priority="3" operator="greaterThan" dxfId="2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2026-06-29T02:51:01Z</dcterms:created>
  <dcterms:modified xsi:type="dcterms:W3CDTF">2026-06-29T03:44:05Z</dcterms:modified>
</cp:coreProperties>
</file>