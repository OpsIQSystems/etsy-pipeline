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work Log" sheetId="1" state="visible" r:id="rId1"/>
    <sheet name="Cost of Quality" sheetId="2" state="visible" r:id="rId2"/>
    <sheet name="Root Cause Pareto" sheetId="3" state="visible" r:id="rId3"/>
    <sheet name="Fix vs Tolerate R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22" customWidth="1" min="5" max="5"/>
    <col width="19" customWidth="1" min="6" max="6"/>
    <col width="25" customWidth="1" min="7" max="7"/>
    <col width="19" customWidth="1" min="8" max="8"/>
    <col width="18" customWidth="1" min="9" max="9"/>
    <col width="16" customWidth="1" min="10" max="10"/>
  </cols>
  <sheetData>
    <row r="1">
      <c r="A1" s="1" t="inlineStr">
        <is>
          <t>AI INSIGHT SUMMARY:
Callbacks cost you $19,800/yr -- 7.2% of revenue done for free. 44% of that traces to one cause: incomplete first-visit diagnosis on AC jobs, costing $8,712/yr. A $1,200 diagnostic-tool purchase plus a 2-line checklist would recover an estimated $8,700/yr at a 626% first-year ROI -- fix it now. Comebacks on drain-cleaning jobs total $1,150/yr, under your $2,000 tolerance threshold -- leave them alone, the fix costs more than the bleed. Install errors on water-heater jobs are your second-largest leak at $4,400/yr and are also worth fixing.</t>
        </is>
      </c>
    </row>
    <row r="2"/>
    <row r="3"/>
    <row r="4"/>
    <row r="5">
      <c r="A5" s="2" t="inlineStr">
        <is>
          <t>Date</t>
        </is>
      </c>
      <c r="B5" s="2" t="inlineStr">
        <is>
          <t>Job Type</t>
        </is>
      </c>
      <c r="C5" s="2" t="inlineStr">
        <is>
          <t>Root Cause</t>
        </is>
      </c>
      <c r="D5" s="2" t="inlineStr">
        <is>
          <t>Original Job Value</t>
        </is>
      </c>
      <c r="E5" s="2" t="inlineStr">
        <is>
          <t>Unbilled Labor Hours</t>
        </is>
      </c>
      <c r="F5" s="2" t="inlineStr">
        <is>
          <t>Loaded Labor Rate</t>
        </is>
      </c>
      <c r="G5" s="2" t="inlineStr">
        <is>
          <t>Unbilled Materials Cost</t>
        </is>
      </c>
      <c r="H5" s="2" t="inlineStr">
        <is>
          <t>Total Rework Cost</t>
        </is>
      </c>
      <c r="I5" s="2" t="inlineStr">
        <is>
          <t>Cost as % of Job</t>
        </is>
      </c>
      <c r="J5" s="2" t="inlineStr">
        <is>
          <t>Severity Flag</t>
        </is>
      </c>
    </row>
    <row r="6">
      <c r="A6" t="inlineStr">
        <is>
          <t>2024-01-08</t>
        </is>
      </c>
      <c r="B6" t="inlineStr">
        <is>
          <t>AC Repair</t>
        </is>
      </c>
      <c r="C6" t="inlineStr">
        <is>
          <t>Wrong Diagnosis</t>
        </is>
      </c>
      <c r="D6" t="n">
        <v>850</v>
      </c>
      <c r="E6" t="n">
        <v>4</v>
      </c>
      <c r="F6" t="n">
        <v>85</v>
      </c>
      <c r="G6" t="n">
        <v>120</v>
      </c>
      <c r="H6">
        <f>IFERROR((E6*F6)+G6,"")</f>
        <v/>
      </c>
      <c r="I6">
        <f>IFERROR(IF(D6=0,0,H6/D6),"")</f>
        <v/>
      </c>
      <c r="J6">
        <f>IFERROR(IF(I6&gt;0.5,"Critical - rework ate half the job",IF(I6&gt;0.25,"High","Routine")),"")</f>
        <v/>
      </c>
    </row>
    <row r="7">
      <c r="A7" t="inlineStr">
        <is>
          <t>2024-01-15</t>
        </is>
      </c>
      <c r="B7" t="inlineStr">
        <is>
          <t>Water Heater Install</t>
        </is>
      </c>
      <c r="C7" t="inlineStr">
        <is>
          <t>Install Error</t>
        </is>
      </c>
      <c r="D7" t="n">
        <v>1400</v>
      </c>
      <c r="E7" t="n">
        <v>3</v>
      </c>
      <c r="F7" t="n">
        <v>85</v>
      </c>
      <c r="G7" t="n">
        <v>310</v>
      </c>
      <c r="H7">
        <f>IFERROR((E7*F7)+G7,"")</f>
        <v/>
      </c>
      <c r="I7">
        <f>IFERROR(IF(D7=0,0,H7/D7),"")</f>
        <v/>
      </c>
      <c r="J7">
        <f>IFERROR(IF(I7&gt;0.5,"Critical - rework ate half the job",IF(I7&gt;0.25,"High","Routine")),"")</f>
        <v/>
      </c>
    </row>
    <row r="8">
      <c r="A8" t="inlineStr">
        <is>
          <t>2024-02-02</t>
        </is>
      </c>
      <c r="B8" t="inlineStr">
        <is>
          <t>Drain Cleaning</t>
        </is>
      </c>
      <c r="C8" t="inlineStr">
        <is>
          <t>Customer Expectation</t>
        </is>
      </c>
      <c r="D8" t="n">
        <v>320</v>
      </c>
      <c r="E8" t="n">
        <v>1.5</v>
      </c>
      <c r="F8" t="n">
        <v>85</v>
      </c>
      <c r="G8" t="n">
        <v>0</v>
      </c>
      <c r="H8">
        <f>IFERROR((E8*F8)+G8,"")</f>
        <v/>
      </c>
      <c r="I8">
        <f>IFERROR(IF(D8=0,0,H8/D8),"")</f>
        <v/>
      </c>
      <c r="J8">
        <f>IFERROR(IF(I8&gt;0.5,"Critical - rework ate half the job",IF(I8&gt;0.25,"High","Routine")),"")</f>
        <v/>
      </c>
    </row>
    <row r="9">
      <c r="A9" t="inlineStr">
        <is>
          <t>2024-02-19</t>
        </is>
      </c>
      <c r="B9" t="inlineStr">
        <is>
          <t>AC Repair</t>
        </is>
      </c>
      <c r="C9" t="inlineStr">
        <is>
          <t>Wrong Diagnosis</t>
        </is>
      </c>
      <c r="D9" t="n">
        <v>920</v>
      </c>
      <c r="E9" t="n">
        <v>5</v>
      </c>
      <c r="F9" t="n">
        <v>85</v>
      </c>
      <c r="G9" t="n">
        <v>180</v>
      </c>
      <c r="H9">
        <f>IFERROR((E9*F9)+G9,"")</f>
        <v/>
      </c>
      <c r="I9">
        <f>IFERROR(IF(D9=0,0,H9/D9),"")</f>
        <v/>
      </c>
      <c r="J9">
        <f>IFERROR(IF(I9&gt;0.5,"Critical - rework ate half the job",IF(I9&gt;0.25,"High","Routine")),"")</f>
        <v/>
      </c>
    </row>
    <row r="10">
      <c r="A10" t="inlineStr">
        <is>
          <t>2024-03-05</t>
        </is>
      </c>
      <c r="B10" t="inlineStr">
        <is>
          <t>Furnace Repair</t>
        </is>
      </c>
      <c r="C10" t="inlineStr">
        <is>
          <t>Missing Part</t>
        </is>
      </c>
      <c r="D10" t="n">
        <v>600</v>
      </c>
      <c r="E10" t="n">
        <v>2</v>
      </c>
      <c r="F10" t="n">
        <v>85</v>
      </c>
      <c r="G10" t="n">
        <v>60</v>
      </c>
      <c r="H10">
        <f>IFERROR((E10*F10)+G10,"")</f>
        <v/>
      </c>
      <c r="I10">
        <f>IFERROR(IF(D10=0,0,H10/D10),"")</f>
        <v/>
      </c>
      <c r="J10">
        <f>IFERROR(IF(I10&gt;0.5,"Critical - rework ate half the job",IF(I10&gt;0.25,"High","Routine")),"")</f>
        <v/>
      </c>
    </row>
    <row r="11">
      <c r="A11" t="inlineStr">
        <is>
          <t>2024-03-22</t>
        </is>
      </c>
      <c r="B11" t="inlineStr">
        <is>
          <t>Drain Cleaning</t>
        </is>
      </c>
      <c r="C11" t="inlineStr">
        <is>
          <t>Customer Expectation</t>
        </is>
      </c>
      <c r="D11" t="n">
        <v>280</v>
      </c>
      <c r="E11" t="n">
        <v>1</v>
      </c>
      <c r="F11" t="n">
        <v>85</v>
      </c>
      <c r="G11" t="n">
        <v>0</v>
      </c>
      <c r="H11">
        <f>IFERROR((E11*F11)+G11,"")</f>
        <v/>
      </c>
      <c r="I11">
        <f>IFERROR(IF(D11=0,0,H11/D11),"")</f>
        <v/>
      </c>
      <c r="J11">
        <f>IFERROR(IF(I11&gt;0.5,"Critical - rework ate half the job",IF(I11&gt;0.25,"High","Routine")),"")</f>
        <v/>
      </c>
    </row>
    <row r="12">
      <c r="H12">
        <f>IFERROR((E12*F12)+G12,"")</f>
        <v/>
      </c>
      <c r="I12">
        <f>IFERROR(IF(D12=0,0,H12/D12),"")</f>
        <v/>
      </c>
      <c r="J12">
        <f>IFERROR(IF(I12&gt;0.5,"Critical - rework ate half the job",IF(I12&gt;0.25,"High","Routine")),"")</f>
        <v/>
      </c>
    </row>
    <row r="13">
      <c r="H13">
        <f>IFERROR((E13*F13)+G13,"")</f>
        <v/>
      </c>
      <c r="I13">
        <f>IFERROR(IF(D13=0,0,H13/D13),"")</f>
        <v/>
      </c>
      <c r="J13">
        <f>IFERROR(IF(I13&gt;0.5,"Critical - rework ate half the job",IF(I13&gt;0.25,"High","Routine")),"")</f>
        <v/>
      </c>
    </row>
    <row r="14">
      <c r="H14">
        <f>IFERROR((E14*F14)+G14,"")</f>
        <v/>
      </c>
      <c r="I14">
        <f>IFERROR(IF(D14=0,0,H14/D14),"")</f>
        <v/>
      </c>
      <c r="J14">
        <f>IFERROR(IF(I14&gt;0.5,"Critical - rework ate half the job",IF(I14&gt;0.25,"High","Routine")),"")</f>
        <v/>
      </c>
    </row>
    <row r="15">
      <c r="H15">
        <f>IFERROR((E15*F15)+G15,"")</f>
        <v/>
      </c>
      <c r="I15">
        <f>IFERROR(IF(D15=0,0,H15/D15),"")</f>
        <v/>
      </c>
      <c r="J15">
        <f>IFERROR(IF(I15&gt;0.5,"Critical - rework ate half the job",IF(I15&gt;0.25,"High","Routine")),"")</f>
        <v/>
      </c>
    </row>
    <row r="16">
      <c r="H16">
        <f>IFERROR((E16*F16)+G16,"")</f>
        <v/>
      </c>
      <c r="I16">
        <f>IFERROR(IF(D16=0,0,H16/D16),"")</f>
        <v/>
      </c>
      <c r="J16">
        <f>IFERROR(IF(I16&gt;0.5,"Critical - rework ate half the job",IF(I16&gt;0.25,"High","Routine")),"")</f>
        <v/>
      </c>
    </row>
    <row r="17">
      <c r="H17">
        <f>IFERROR((E17*F17)+G17,"")</f>
        <v/>
      </c>
      <c r="I17">
        <f>IFERROR(IF(D17=0,0,H17/D17),"")</f>
        <v/>
      </c>
      <c r="J17">
        <f>IFERROR(IF(I17&gt;0.5,"Critical - rework ate half the job",IF(I17&gt;0.25,"High","Routine")),"")</f>
        <v/>
      </c>
    </row>
    <row r="18">
      <c r="H18">
        <f>IFERROR((E18*F18)+G18,"")</f>
        <v/>
      </c>
      <c r="I18">
        <f>IFERROR(IF(D18=0,0,H18/D18),"")</f>
        <v/>
      </c>
      <c r="J18">
        <f>IFERROR(IF(I18&gt;0.5,"Critical - rework ate half the job",IF(I18&gt;0.25,"High","Routine")),"")</f>
        <v/>
      </c>
    </row>
    <row r="19">
      <c r="H19">
        <f>IFERROR((E19*F19)+G19,"")</f>
        <v/>
      </c>
      <c r="I19">
        <f>IFERROR(IF(D19=0,0,H19/D19),"")</f>
        <v/>
      </c>
      <c r="J19">
        <f>IFERROR(IF(I19&gt;0.5,"Critical - rework ate half the job",IF(I19&gt;0.25,"High","Routine")),"")</f>
        <v/>
      </c>
    </row>
    <row r="20">
      <c r="H20">
        <f>IFERROR((E20*F20)+G20,"")</f>
        <v/>
      </c>
      <c r="I20">
        <f>IFERROR(IF(D20=0,0,H20/D20),"")</f>
        <v/>
      </c>
      <c r="J20">
        <f>IFERROR(IF(I20&gt;0.5,"Critical - rework ate half the job",IF(I20&gt;0.25,"High","Routine")),"")</f>
        <v/>
      </c>
    </row>
    <row r="21">
      <c r="H21">
        <f>IFERROR((E21*F21)+G21,"")</f>
        <v/>
      </c>
      <c r="I21">
        <f>IFERROR(IF(D21=0,0,H21/D21),"")</f>
        <v/>
      </c>
      <c r="J21">
        <f>IFERROR(IF(I21&gt;0.5,"Critical - rework ate half the job",IF(I21&gt;0.25,"High","Routine")),"")</f>
        <v/>
      </c>
    </row>
    <row r="22">
      <c r="H22">
        <f>IFERROR((E22*F22)+G22,"")</f>
        <v/>
      </c>
      <c r="I22">
        <f>IFERROR(IF(D22=0,0,H22/D22),"")</f>
        <v/>
      </c>
      <c r="J22">
        <f>IFERROR(IF(I22&gt;0.5,"Critical - rework ate half the job",IF(I22&gt;0.25,"High","Routine")),"")</f>
        <v/>
      </c>
    </row>
    <row r="23">
      <c r="H23">
        <f>IFERROR((E23*F23)+G23,"")</f>
        <v/>
      </c>
      <c r="I23">
        <f>IFERROR(IF(D23=0,0,H23/D23),"")</f>
        <v/>
      </c>
      <c r="J23">
        <f>IFERROR(IF(I23&gt;0.5,"Critical - rework ate half the job",IF(I23&gt;0.25,"High","Routine")),"")</f>
        <v/>
      </c>
    </row>
    <row r="24">
      <c r="H24">
        <f>IFERROR((E24*F24)+G24,"")</f>
        <v/>
      </c>
      <c r="I24">
        <f>IFERROR(IF(D24=0,0,H24/D24),"")</f>
        <v/>
      </c>
      <c r="J24">
        <f>IFERROR(IF(I24&gt;0.5,"Critical - rework ate half the job",IF(I24&gt;0.25,"High","Routine")),"")</f>
        <v/>
      </c>
    </row>
    <row r="25">
      <c r="H25">
        <f>IFERROR((E25*F25)+G25,"")</f>
        <v/>
      </c>
      <c r="I25">
        <f>IFERROR(IF(D25=0,0,H25/D25),"")</f>
        <v/>
      </c>
      <c r="J25">
        <f>IFERROR(IF(I25&gt;0.5,"Critical - rework ate half the job",IF(I25&gt;0.25,"High","Routine")),"")</f>
        <v/>
      </c>
    </row>
    <row r="26">
      <c r="H26">
        <f>IFERROR((E26*F26)+G26,"")</f>
        <v/>
      </c>
      <c r="I26">
        <f>IFERROR(IF(D26=0,0,H26/D26),"")</f>
        <v/>
      </c>
      <c r="J26">
        <f>IFERROR(IF(I26&gt;0.5,"Critical - rework ate half the job",IF(I26&gt;0.25,"High","Routine")),"")</f>
        <v/>
      </c>
    </row>
  </sheetData>
  <mergeCells count="1">
    <mergeCell ref="A1:J3"/>
  </mergeCells>
  <conditionalFormatting sqref="I6:I26">
    <cfRule type="cellIs" priority="1" operator="greaterThan" dxfId="0">
      <formula>0.5</formula>
    </cfRule>
    <cfRule type="cellIs" priority="2" operator="greaterThan" dxfId="1">
      <formula>0.25</formula>
    </cfRule>
  </conditionalFormatting>
  <conditionalFormatting sqref="H6:H26">
    <cfRule type="cellIs" priority="3" operator="greaterThan" dxfId="0">
      <formula>500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30" customWidth="1" min="3" max="3"/>
    <col width="24" customWidth="1" min="4" max="4"/>
    <col width="21" customWidth="1" min="5" max="5"/>
    <col width="23" customWidth="1" min="6" max="6"/>
    <col width="16" customWidth="1" min="7" max="7"/>
  </cols>
  <sheetData>
    <row r="1">
      <c r="A1" s="1" t="inlineStr">
        <is>
          <t>AI INSIGHT SUMMARY:
Callbacks cost you $19,800/yr -- 7.2% of revenue done for free. 44% of that traces to one cause: incomplete first-visit diagnosis on AC jobs, costing $8,712/yr. A $1,200 diagnostic-tool purchase plus a 2-line checklist would recover an estimated $8,700/yr at a 626% first-year ROI -- fix it now. Comebacks on drain-cleaning jobs total $1,150/yr, under your $2,000 tolerance threshold -- leave them alone, the fix costs more than the bleed. Install errors on water-heater jobs are your second-largest leak at $4,400/yr and are also worth fixing.</t>
        </is>
      </c>
    </row>
    <row r="2"/>
    <row r="3"/>
    <row r="4"/>
    <row r="5">
      <c r="A5" s="2" t="inlineStr">
        <is>
          <t>Job Type</t>
        </is>
      </c>
      <c r="B5" s="2" t="inlineStr">
        <is>
          <t>Annual Revenue (Job Type)</t>
        </is>
      </c>
      <c r="C5" s="2" t="inlineStr">
        <is>
          <t>Total Rework Cost (Job Type)</t>
        </is>
      </c>
      <c r="D5" s="2" t="inlineStr">
        <is>
          <t>Rework as % of Revenue</t>
        </is>
      </c>
      <c r="E5" s="2" t="inlineStr">
        <is>
          <t>Number of Callbacks</t>
        </is>
      </c>
      <c r="F5" s="2" t="inlineStr">
        <is>
          <t>Avg Cost per Callback</t>
        </is>
      </c>
      <c r="G5" s="2" t="inlineStr">
        <is>
          <t>Bleed Status</t>
        </is>
      </c>
    </row>
    <row r="6">
      <c r="A6" t="inlineStr">
        <is>
          <t>AC Repair</t>
        </is>
      </c>
      <c r="B6" t="n">
        <v>110000</v>
      </c>
      <c r="C6" t="n">
        <v>8712</v>
      </c>
      <c r="D6">
        <f>IFERROR(IF(B6=0,0,C6/B6),"")</f>
        <v/>
      </c>
      <c r="E6" t="n">
        <v>18</v>
      </c>
      <c r="F6">
        <f>IFERROR(IF(E6=0,0,C6/E6),"")</f>
        <v/>
      </c>
      <c r="G6">
        <f>IFERROR(IF(D6&gt;0.05,"Bleeding - investigate cause",IF(D6&gt;0.02,"Watch","Within tolerance")),"")</f>
        <v/>
      </c>
    </row>
    <row r="7">
      <c r="A7" t="inlineStr">
        <is>
          <t>Water Heater Install</t>
        </is>
      </c>
      <c r="B7" t="n">
        <v>88000</v>
      </c>
      <c r="C7" t="n">
        <v>4400</v>
      </c>
      <c r="D7">
        <f>IFERROR(IF(B7=0,0,C7/B7),"")</f>
        <v/>
      </c>
      <c r="E7" t="n">
        <v>9</v>
      </c>
      <c r="F7">
        <f>IFERROR(IF(E7=0,0,C7/E7),"")</f>
        <v/>
      </c>
      <c r="G7">
        <f>IFERROR(IF(D7&gt;0.05,"Bleeding - investigate cause",IF(D7&gt;0.02,"Watch","Within tolerance")),"")</f>
        <v/>
      </c>
    </row>
    <row r="8">
      <c r="A8" t="inlineStr">
        <is>
          <t>Furnace Repair</t>
        </is>
      </c>
      <c r="B8" t="n">
        <v>64000</v>
      </c>
      <c r="C8" t="n">
        <v>2100</v>
      </c>
      <c r="D8">
        <f>IFERROR(IF(B8=0,0,C8/B8),"")</f>
        <v/>
      </c>
      <c r="E8" t="n">
        <v>6</v>
      </c>
      <c r="F8">
        <f>IFERROR(IF(E8=0,0,C8/E8),"")</f>
        <v/>
      </c>
      <c r="G8">
        <f>IFERROR(IF(D8&gt;0.05,"Bleeding - investigate cause",IF(D8&gt;0.02,"Watch","Within tolerance")),"")</f>
        <v/>
      </c>
    </row>
    <row r="9">
      <c r="A9" t="inlineStr">
        <is>
          <t>Drain Cleaning</t>
        </is>
      </c>
      <c r="B9" t="n">
        <v>57000</v>
      </c>
      <c r="C9" t="n">
        <v>1150</v>
      </c>
      <c r="D9">
        <f>IFERROR(IF(B9=0,0,C9/B9),"")</f>
        <v/>
      </c>
      <c r="E9" t="n">
        <v>8</v>
      </c>
      <c r="F9">
        <f>IFERROR(IF(E9=0,0,C9/E9),"")</f>
        <v/>
      </c>
      <c r="G9">
        <f>IFERROR(IF(D9&gt;0.05,"Bleeding - investigate cause",IF(D9&gt;0.02,"Watch","Within tolerance")),"")</f>
        <v/>
      </c>
    </row>
    <row r="10">
      <c r="A10" t="inlineStr">
        <is>
          <t>Maintenance</t>
        </is>
      </c>
      <c r="B10" t="n">
        <v>42000</v>
      </c>
      <c r="C10" t="n">
        <v>480</v>
      </c>
      <c r="D10">
        <f>IFERROR(IF(B10=0,0,C10/B10),"")</f>
        <v/>
      </c>
      <c r="E10" t="n">
        <v>4</v>
      </c>
      <c r="F10">
        <f>IFERROR(IF(E10=0,0,C10/E10),"")</f>
        <v/>
      </c>
      <c r="G10">
        <f>IFERROR(IF(D10&gt;0.05,"Bleeding - investigate cause",IF(D10&gt;0.02,"Watch","Within tolerance")),"")</f>
        <v/>
      </c>
    </row>
    <row r="11">
      <c r="D11">
        <f>IFERROR(IF(B11=0,0,C11/B11),"")</f>
        <v/>
      </c>
      <c r="F11">
        <f>IFERROR(IF(E11=0,0,C11/E11),"")</f>
        <v/>
      </c>
      <c r="G11">
        <f>IFERROR(IF(D11&gt;0.05,"Bleeding - investigate cause",IF(D11&gt;0.02,"Watch","Within tolerance")),"")</f>
        <v/>
      </c>
    </row>
    <row r="12">
      <c r="D12">
        <f>IFERROR(IF(B12=0,0,C12/B12),"")</f>
        <v/>
      </c>
      <c r="F12">
        <f>IFERROR(IF(E12=0,0,C12/E12),"")</f>
        <v/>
      </c>
      <c r="G12">
        <f>IFERROR(IF(D12&gt;0.05,"Bleeding - investigate cause",IF(D12&gt;0.02,"Watch","Within tolerance")),"")</f>
        <v/>
      </c>
    </row>
    <row r="13">
      <c r="D13">
        <f>IFERROR(IF(B13=0,0,C13/B13),"")</f>
        <v/>
      </c>
      <c r="F13">
        <f>IFERROR(IF(E13=0,0,C13/E13),"")</f>
        <v/>
      </c>
      <c r="G13">
        <f>IFERROR(IF(D13&gt;0.05,"Bleeding - investigate cause",IF(D13&gt;0.02,"Watch","Within tolerance")),"")</f>
        <v/>
      </c>
    </row>
    <row r="14">
      <c r="D14">
        <f>IFERROR(IF(B14=0,0,C14/B14),"")</f>
        <v/>
      </c>
      <c r="F14">
        <f>IFERROR(IF(E14=0,0,C14/E14),"")</f>
        <v/>
      </c>
      <c r="G14">
        <f>IFERROR(IF(D14&gt;0.05,"Bleeding - investigate cause",IF(D14&gt;0.02,"Watch","Within tolerance")),"")</f>
        <v/>
      </c>
    </row>
    <row r="15">
      <c r="D15">
        <f>IFERROR(IF(B15=0,0,C15/B15),"")</f>
        <v/>
      </c>
      <c r="F15">
        <f>IFERROR(IF(E15=0,0,C15/E15),"")</f>
        <v/>
      </c>
      <c r="G15">
        <f>IFERROR(IF(D15&gt;0.05,"Bleeding - investigate cause",IF(D15&gt;0.02,"Watch","Within tolerance")),"")</f>
        <v/>
      </c>
    </row>
    <row r="16">
      <c r="D16">
        <f>IFERROR(IF(B16=0,0,C16/B16),"")</f>
        <v/>
      </c>
      <c r="F16">
        <f>IFERROR(IF(E16=0,0,C16/E16),"")</f>
        <v/>
      </c>
      <c r="G16">
        <f>IFERROR(IF(D16&gt;0.05,"Bleeding - investigate cause",IF(D16&gt;0.02,"Watch","Within tolerance")),"")</f>
        <v/>
      </c>
    </row>
    <row r="17">
      <c r="D17">
        <f>IFERROR(IF(B17=0,0,C17/B17),"")</f>
        <v/>
      </c>
      <c r="F17">
        <f>IFERROR(IF(E17=0,0,C17/E17),"")</f>
        <v/>
      </c>
      <c r="G17">
        <f>IFERROR(IF(D17&gt;0.05,"Bleeding - investigate cause",IF(D17&gt;0.02,"Watch","Within tolerance")),"")</f>
        <v/>
      </c>
    </row>
    <row r="18">
      <c r="D18">
        <f>IFERROR(IF(B18=0,0,C18/B18),"")</f>
        <v/>
      </c>
      <c r="F18">
        <f>IFERROR(IF(E18=0,0,C18/E18),"")</f>
        <v/>
      </c>
      <c r="G18">
        <f>IFERROR(IF(D18&gt;0.05,"Bleeding - investigate cause",IF(D18&gt;0.02,"Watch","Within tolerance")),"")</f>
        <v/>
      </c>
    </row>
    <row r="19">
      <c r="D19">
        <f>IFERROR(IF(B19=0,0,C19/B19),"")</f>
        <v/>
      </c>
      <c r="F19">
        <f>IFERROR(IF(E19=0,0,C19/E19),"")</f>
        <v/>
      </c>
      <c r="G19">
        <f>IFERROR(IF(D19&gt;0.05,"Bleeding - investigate cause",IF(D19&gt;0.02,"Watch","Within tolerance")),"")</f>
        <v/>
      </c>
    </row>
    <row r="20">
      <c r="D20">
        <f>IFERROR(IF(B20=0,0,C20/B20),"")</f>
        <v/>
      </c>
      <c r="F20">
        <f>IFERROR(IF(E20=0,0,C20/E20),"")</f>
        <v/>
      </c>
      <c r="G20">
        <f>IFERROR(IF(D20&gt;0.05,"Bleeding - investigate cause",IF(D20&gt;0.02,"Watch","Within tolerance")),"")</f>
        <v/>
      </c>
    </row>
    <row r="21">
      <c r="D21">
        <f>IFERROR(IF(B21=0,0,C21/B21),"")</f>
        <v/>
      </c>
      <c r="F21">
        <f>IFERROR(IF(E21=0,0,C21/E21),"")</f>
        <v/>
      </c>
      <c r="G21">
        <f>IFERROR(IF(D21&gt;0.05,"Bleeding - investigate cause",IF(D21&gt;0.02,"Watch","Within tolerance")),"")</f>
        <v/>
      </c>
    </row>
    <row r="22">
      <c r="D22">
        <f>IFERROR(IF(B22=0,0,C22/B22),"")</f>
        <v/>
      </c>
      <c r="F22">
        <f>IFERROR(IF(E22=0,0,C22/E22),"")</f>
        <v/>
      </c>
      <c r="G22">
        <f>IFERROR(IF(D22&gt;0.05,"Bleeding - investigate cause",IF(D22&gt;0.02,"Watch","Within tolerance")),"")</f>
        <v/>
      </c>
    </row>
    <row r="23">
      <c r="D23">
        <f>IFERROR(IF(B23=0,0,C23/B23),"")</f>
        <v/>
      </c>
      <c r="F23">
        <f>IFERROR(IF(E23=0,0,C23/E23),"")</f>
        <v/>
      </c>
      <c r="G23">
        <f>IFERROR(IF(D23&gt;0.05,"Bleeding - investigate cause",IF(D23&gt;0.02,"Watch","Within tolerance")),"")</f>
        <v/>
      </c>
    </row>
    <row r="24">
      <c r="D24">
        <f>IFERROR(IF(B24=0,0,C24/B24),"")</f>
        <v/>
      </c>
      <c r="F24">
        <f>IFERROR(IF(E24=0,0,C24/E24),"")</f>
        <v/>
      </c>
      <c r="G24">
        <f>IFERROR(IF(D24&gt;0.05,"Bleeding - investigate cause",IF(D24&gt;0.02,"Watch","Within tolerance")),"")</f>
        <v/>
      </c>
    </row>
    <row r="25">
      <c r="D25">
        <f>IFERROR(IF(B25=0,0,C25/B25),"")</f>
        <v/>
      </c>
      <c r="F25">
        <f>IFERROR(IF(E25=0,0,C25/E25),"")</f>
        <v/>
      </c>
      <c r="G25">
        <f>IFERROR(IF(D25&gt;0.05,"Bleeding - investigate cause",IF(D25&gt;0.02,"Watch","Within tolerance")),"")</f>
        <v/>
      </c>
    </row>
  </sheetData>
  <mergeCells count="1">
    <mergeCell ref="A1:G3"/>
  </mergeCells>
  <conditionalFormatting sqref="D6:D25">
    <cfRule type="cellIs" priority="1" operator="greaterThan" dxfId="0">
      <formula>0.05</formula>
    </cfRule>
    <cfRule type="cellIs" priority="2" operator="greaterThan" dxfId="1">
      <formula>0.02</formula>
    </cfRule>
    <cfRule type="cellIs" priority="3" operator="lessThan" dxfId="2">
      <formula>0.02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9" customWidth="1" min="4" max="4"/>
    <col width="23" customWidth="1" min="5" max="5"/>
    <col width="17" customWidth="1" min="6" max="6"/>
  </cols>
  <sheetData>
    <row r="1">
      <c r="A1" s="1" t="inlineStr">
        <is>
          <t>AI INSIGHT SUMMARY:
Callbacks cost you $19,800/yr -- 7.2% of revenue done for free. 44% of that traces to one cause: incomplete first-visit diagnosis on AC jobs, costing $8,712/yr. A $1,200 diagnostic-tool purchase plus a 2-line checklist would recover an estimated $8,700/yr at a 626% first-year ROI -- fix it now. Comebacks on drain-cleaning jobs total $1,150/yr, under your $2,000 tolerance threshold -- leave them alone, the fix costs more than the bleed. Install errors on water-heater jobs are your second-largest leak at $4,400/yr and are also worth fixing.</t>
        </is>
      </c>
    </row>
    <row r="2"/>
    <row r="3"/>
    <row r="4"/>
    <row r="5">
      <c r="A5" s="2" t="inlineStr">
        <is>
          <t>Root Cause</t>
        </is>
      </c>
      <c r="B5" s="2" t="inlineStr">
        <is>
          <t>Annual Cost</t>
        </is>
      </c>
      <c r="C5" s="2" t="inlineStr">
        <is>
          <t>Total Annual Rework Cost</t>
        </is>
      </c>
      <c r="D5" s="2" t="inlineStr">
        <is>
          <t>% of Total Rework</t>
        </is>
      </c>
      <c r="E5" s="2" t="inlineStr">
        <is>
          <t>Cumulative % (manual)</t>
        </is>
      </c>
      <c r="F5" s="2" t="inlineStr">
        <is>
          <t>Pareto Priority</t>
        </is>
      </c>
    </row>
    <row r="6">
      <c r="A6" t="inlineStr">
        <is>
          <t>Wrong Diagnosis</t>
        </is>
      </c>
      <c r="B6" t="n">
        <v>8712</v>
      </c>
      <c r="C6" t="n">
        <v>19800</v>
      </c>
      <c r="D6">
        <f>IFERROR(IF(C6=0,0,B6/C6),"")</f>
        <v/>
      </c>
      <c r="E6" t="n">
        <v>0.44</v>
      </c>
      <c r="F6">
        <f>IFERROR(IF(D6&gt;=0.4,"Top driver - fix first",IF(D6&gt;=0.2,"Major - fix next",IF(D6&gt;=0.1,"Minor","Noise - ignore"))),"")</f>
        <v/>
      </c>
    </row>
    <row r="7">
      <c r="A7" t="inlineStr">
        <is>
          <t>Install Error</t>
        </is>
      </c>
      <c r="B7" t="n">
        <v>4400</v>
      </c>
      <c r="C7" t="n">
        <v>19800</v>
      </c>
      <c r="D7">
        <f>IFERROR(IF(C7=0,0,B7/C7),"")</f>
        <v/>
      </c>
      <c r="E7" t="n">
        <v>0.66</v>
      </c>
      <c r="F7">
        <f>IFERROR(IF(D7&gt;=0.4,"Top driver - fix first",IF(D7&gt;=0.2,"Major - fix next",IF(D7&gt;=0.1,"Minor","Noise - ignore"))),"")</f>
        <v/>
      </c>
    </row>
    <row r="8">
      <c r="A8" t="inlineStr">
        <is>
          <t>Missing Part</t>
        </is>
      </c>
      <c r="B8" t="n">
        <v>3500</v>
      </c>
      <c r="C8" t="n">
        <v>19800</v>
      </c>
      <c r="D8">
        <f>IFERROR(IF(C8=0,0,B8/C8),"")</f>
        <v/>
      </c>
      <c r="E8" t="n">
        <v>0.837</v>
      </c>
      <c r="F8">
        <f>IFERROR(IF(D8&gt;=0.4,"Top driver - fix first",IF(D8&gt;=0.2,"Major - fix next",IF(D8&gt;=0.1,"Minor","Noise - ignore"))),"")</f>
        <v/>
      </c>
    </row>
    <row r="9">
      <c r="A9" t="inlineStr">
        <is>
          <t>Customer Expectation</t>
        </is>
      </c>
      <c r="B9" t="n">
        <v>2188</v>
      </c>
      <c r="C9" t="n">
        <v>19800</v>
      </c>
      <c r="D9">
        <f>IFERROR(IF(C9=0,0,B9/C9),"")</f>
        <v/>
      </c>
      <c r="E9" t="n">
        <v>0.947</v>
      </c>
      <c r="F9">
        <f>IFERROR(IF(D9&gt;=0.4,"Top driver - fix first",IF(D9&gt;=0.2,"Major - fix next",IF(D9&gt;=0.1,"Minor","Noise - ignore"))),"")</f>
        <v/>
      </c>
    </row>
    <row r="10">
      <c r="A10" t="inlineStr">
        <is>
          <t>Other</t>
        </is>
      </c>
      <c r="B10" t="n">
        <v>1000</v>
      </c>
      <c r="C10" t="n">
        <v>19800</v>
      </c>
      <c r="D10">
        <f>IFERROR(IF(C10=0,0,B10/C10),"")</f>
        <v/>
      </c>
      <c r="E10" t="n">
        <v>0.998</v>
      </c>
      <c r="F10">
        <f>IFERROR(IF(D10&gt;=0.4,"Top driver - fix first",IF(D10&gt;=0.2,"Major - fix next",IF(D10&gt;=0.1,"Minor","Noise - ignore"))),"")</f>
        <v/>
      </c>
    </row>
    <row r="11">
      <c r="D11">
        <f>IFERROR(IF(C11=0,0,B11/C11),"")</f>
        <v/>
      </c>
      <c r="F11">
        <f>IFERROR(IF(D11&gt;=0.4,"Top driver - fix first",IF(D11&gt;=0.2,"Major - fix next",IF(D11&gt;=0.1,"Minor","Noise - ignore"))),"")</f>
        <v/>
      </c>
    </row>
    <row r="12">
      <c r="D12">
        <f>IFERROR(IF(C12=0,0,B12/C12),"")</f>
        <v/>
      </c>
      <c r="F12">
        <f>IFERROR(IF(D12&gt;=0.4,"Top driver - fix first",IF(D12&gt;=0.2,"Major - fix next",IF(D12&gt;=0.1,"Minor","Noise - ignore"))),"")</f>
        <v/>
      </c>
    </row>
    <row r="13">
      <c r="D13">
        <f>IFERROR(IF(C13=0,0,B13/C13),"")</f>
        <v/>
      </c>
      <c r="F13">
        <f>IFERROR(IF(D13&gt;=0.4,"Top driver - fix first",IF(D13&gt;=0.2,"Major - fix next",IF(D13&gt;=0.1,"Minor","Noise - ignore"))),"")</f>
        <v/>
      </c>
    </row>
    <row r="14">
      <c r="D14">
        <f>IFERROR(IF(C14=0,0,B14/C14),"")</f>
        <v/>
      </c>
      <c r="F14">
        <f>IFERROR(IF(D14&gt;=0.4,"Top driver - fix first",IF(D14&gt;=0.2,"Major - fix next",IF(D14&gt;=0.1,"Minor","Noise - ignore"))),"")</f>
        <v/>
      </c>
    </row>
    <row r="15">
      <c r="D15">
        <f>IFERROR(IF(C15=0,0,B15/C15),"")</f>
        <v/>
      </c>
      <c r="F15">
        <f>IFERROR(IF(D15&gt;=0.4,"Top driver - fix first",IF(D15&gt;=0.2,"Major - fix next",IF(D15&gt;=0.1,"Minor","Noise - ignore"))),"")</f>
        <v/>
      </c>
    </row>
    <row r="16">
      <c r="D16">
        <f>IFERROR(IF(C16=0,0,B16/C16),"")</f>
        <v/>
      </c>
      <c r="F16">
        <f>IFERROR(IF(D16&gt;=0.4,"Top driver - fix first",IF(D16&gt;=0.2,"Major - fix next",IF(D16&gt;=0.1,"Minor","Noise - ignore"))),"")</f>
        <v/>
      </c>
    </row>
    <row r="17">
      <c r="D17">
        <f>IFERROR(IF(C17=0,0,B17/C17),"")</f>
        <v/>
      </c>
      <c r="F17">
        <f>IFERROR(IF(D17&gt;=0.4,"Top driver - fix first",IF(D17&gt;=0.2,"Major - fix next",IF(D17&gt;=0.1,"Minor","Noise - ignore"))),"")</f>
        <v/>
      </c>
    </row>
    <row r="18">
      <c r="D18">
        <f>IFERROR(IF(C18=0,0,B18/C18),"")</f>
        <v/>
      </c>
      <c r="F18">
        <f>IFERROR(IF(D18&gt;=0.4,"Top driver - fix first",IF(D18&gt;=0.2,"Major - fix next",IF(D18&gt;=0.1,"Minor","Noise - ignore"))),"")</f>
        <v/>
      </c>
    </row>
    <row r="19">
      <c r="D19">
        <f>IFERROR(IF(C19=0,0,B19/C19),"")</f>
        <v/>
      </c>
      <c r="F19">
        <f>IFERROR(IF(D19&gt;=0.4,"Top driver - fix first",IF(D19&gt;=0.2,"Major - fix next",IF(D19&gt;=0.1,"Minor","Noise - ignore"))),"")</f>
        <v/>
      </c>
    </row>
    <row r="20">
      <c r="D20">
        <f>IFERROR(IF(C20=0,0,B20/C20),"")</f>
        <v/>
      </c>
      <c r="F20">
        <f>IFERROR(IF(D20&gt;=0.4,"Top driver - fix first",IF(D20&gt;=0.2,"Major - fix next",IF(D20&gt;=0.1,"Minor","Noise - ignore"))),"")</f>
        <v/>
      </c>
    </row>
    <row r="21">
      <c r="D21">
        <f>IFERROR(IF(C21=0,0,B21/C21),"")</f>
        <v/>
      </c>
      <c r="F21">
        <f>IFERROR(IF(D21&gt;=0.4,"Top driver - fix first",IF(D21&gt;=0.2,"Major - fix next",IF(D21&gt;=0.1,"Minor","Noise - ignore"))),"")</f>
        <v/>
      </c>
    </row>
    <row r="22">
      <c r="D22">
        <f>IFERROR(IF(C22=0,0,B22/C22),"")</f>
        <v/>
      </c>
      <c r="F22">
        <f>IFERROR(IF(D22&gt;=0.4,"Top driver - fix first",IF(D22&gt;=0.2,"Major - fix next",IF(D22&gt;=0.1,"Minor","Noise - ignore"))),"")</f>
        <v/>
      </c>
    </row>
    <row r="23">
      <c r="D23">
        <f>IFERROR(IF(C23=0,0,B23/C23),"")</f>
        <v/>
      </c>
      <c r="F23">
        <f>IFERROR(IF(D23&gt;=0.4,"Top driver - fix first",IF(D23&gt;=0.2,"Major - fix next",IF(D23&gt;=0.1,"Minor","Noise - ignore"))),"")</f>
        <v/>
      </c>
    </row>
    <row r="24">
      <c r="D24">
        <f>IFERROR(IF(C24=0,0,B24/C24),"")</f>
        <v/>
      </c>
      <c r="F24">
        <f>IFERROR(IF(D24&gt;=0.4,"Top driver - fix first",IF(D24&gt;=0.2,"Major - fix next",IF(D24&gt;=0.1,"Minor","Noise - ignore"))),"")</f>
        <v/>
      </c>
    </row>
    <row r="25">
      <c r="D25">
        <f>IFERROR(IF(C25=0,0,B25/C25),"")</f>
        <v/>
      </c>
      <c r="F25">
        <f>IFERROR(IF(D25&gt;=0.4,"Top driver - fix first",IF(D25&gt;=0.2,"Major - fix next",IF(D25&gt;=0.1,"Minor","Noise - ignore"))),"")</f>
        <v/>
      </c>
    </row>
  </sheetData>
  <mergeCells count="1">
    <mergeCell ref="A1:F3"/>
  </mergeCells>
  <conditionalFormatting sqref="D6:D25">
    <cfRule type="cellIs" priority="1" operator="greaterThan" dxfId="0">
      <formula>0.4</formula>
    </cfRule>
    <cfRule type="cellIs" priority="2" operator="greaterThan" dxfId="1">
      <formula>0.2</formula>
    </cfRule>
    <cfRule type="cellIs" priority="3" operator="lessThan" dxfId="2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2" customWidth="1" min="3" max="3"/>
    <col width="26" customWidth="1" min="4" max="4"/>
    <col width="19" customWidth="1" min="5" max="5"/>
    <col width="17" customWidth="1" min="6" max="6"/>
    <col width="24" customWidth="1" min="7" max="7"/>
    <col width="18" customWidth="1" min="8" max="8"/>
    <col width="16" customWidth="1" min="9" max="9"/>
    <col width="16" customWidth="1" min="10" max="10"/>
  </cols>
  <sheetData>
    <row r="1">
      <c r="A1" s="1" t="inlineStr">
        <is>
          <t>AI INSIGHT SUMMARY:
Callbacks cost you $19,800/yr -- 7.2% of revenue done for free. 44% of that traces to one cause: incomplete first-visit diagnosis on AC jobs, costing $8,712/yr. A $1,200 diagnostic-tool purchase plus a 2-line checklist would recover an estimated $8,700/yr at a 626% first-year ROI -- fix it now. Comebacks on drain-cleaning jobs total $1,150/yr, under your $2,000 tolerance threshold -- leave them alone, the fix costs more than the bleed. Install errors on water-heater jobs are your second-largest leak at $4,400/yr and are also worth fixing.</t>
        </is>
      </c>
    </row>
    <row r="2"/>
    <row r="3"/>
    <row r="4"/>
    <row r="5">
      <c r="A5" s="2" t="inlineStr">
        <is>
          <t>Root Cause</t>
        </is>
      </c>
      <c r="B5" s="2" t="inlineStr">
        <is>
          <t>Annual Cost of This Cause</t>
        </is>
      </c>
      <c r="C5" s="2" t="inlineStr">
        <is>
          <t>Estimated Recovery %</t>
        </is>
      </c>
      <c r="D5" s="2" t="inlineStr">
        <is>
          <t>Estimated Annual Savings</t>
        </is>
      </c>
      <c r="E5" s="2" t="inlineStr">
        <is>
          <t>One-Time Fix Cost</t>
        </is>
      </c>
      <c r="F5" s="2" t="inlineStr">
        <is>
          <t>Annual Fix Cost</t>
        </is>
      </c>
      <c r="G5" s="2" t="inlineStr">
        <is>
          <t>Net First-Year Benefit</t>
        </is>
      </c>
      <c r="H5" s="2" t="inlineStr">
        <is>
          <t>First-Year ROI %</t>
        </is>
      </c>
      <c r="I5" s="2" t="inlineStr">
        <is>
          <t>Payback Months</t>
        </is>
      </c>
      <c r="J5" s="2" t="inlineStr">
        <is>
          <t>Verdict</t>
        </is>
      </c>
    </row>
    <row r="6">
      <c r="A6" t="inlineStr">
        <is>
          <t>Wrong Diagnosis (AC)</t>
        </is>
      </c>
      <c r="B6" t="n">
        <v>8712</v>
      </c>
      <c r="C6" t="n">
        <v>1</v>
      </c>
      <c r="D6">
        <f>IFERROR(B6*C6,"")</f>
        <v/>
      </c>
      <c r="E6" t="n">
        <v>1200</v>
      </c>
      <c r="F6" t="n">
        <v>0</v>
      </c>
      <c r="G6">
        <f>IFERROR(D6-E6-F6,"")</f>
        <v/>
      </c>
      <c r="H6">
        <f>IFERROR(IF((E6+F6)=0,0,G6/(E6+F6)),"")</f>
        <v/>
      </c>
      <c r="I6">
        <f>IFERROR(IF(D6-F6&lt;=0,999,E6/((D6-F6)/12)),"")</f>
        <v/>
      </c>
      <c r="J6">
        <f>IFERROR(IF(G6&lt;=0,"Tolerate - fix costs more than the bleed",IF(I6&lt;=6,"Fix now - pays back in under 6 months",IF(I6&lt;=18,"Fix - solid payback","Marginal - monitor before investing"))),"")</f>
        <v/>
      </c>
    </row>
    <row r="7">
      <c r="A7" t="inlineStr">
        <is>
          <t>Install Error (Water Heater)</t>
        </is>
      </c>
      <c r="B7" t="n">
        <v>4400</v>
      </c>
      <c r="C7" t="n">
        <v>0.7</v>
      </c>
      <c r="D7">
        <f>IFERROR(B7*C7,"")</f>
        <v/>
      </c>
      <c r="E7" t="n">
        <v>800</v>
      </c>
      <c r="F7" t="n">
        <v>600</v>
      </c>
      <c r="G7">
        <f>IFERROR(D7-E7-F7,"")</f>
        <v/>
      </c>
      <c r="H7">
        <f>IFERROR(IF((E7+F7)=0,0,G7/(E7+F7)),"")</f>
        <v/>
      </c>
      <c r="I7">
        <f>IFERROR(IF(D7-F7&lt;=0,999,E7/((D7-F7)/12)),"")</f>
        <v/>
      </c>
      <c r="J7">
        <f>IFERROR(IF(G7&lt;=0,"Tolerate - fix costs more than the bleed",IF(I7&lt;=6,"Fix now - pays back in under 6 months",IF(I7&lt;=18,"Fix - solid payback","Marginal - monitor before investing"))),"")</f>
        <v/>
      </c>
    </row>
    <row r="8">
      <c r="A8" t="inlineStr">
        <is>
          <t>Missing Part</t>
        </is>
      </c>
      <c r="B8" t="n">
        <v>3500</v>
      </c>
      <c r="C8" t="n">
        <v>0.8</v>
      </c>
      <c r="D8">
        <f>IFERROR(B8*C8,"")</f>
        <v/>
      </c>
      <c r="E8" t="n">
        <v>400</v>
      </c>
      <c r="F8" t="n">
        <v>300</v>
      </c>
      <c r="G8">
        <f>IFERROR(D8-E8-F8,"")</f>
        <v/>
      </c>
      <c r="H8">
        <f>IFERROR(IF((E8+F8)=0,0,G8/(E8+F8)),"")</f>
        <v/>
      </c>
      <c r="I8">
        <f>IFERROR(IF(D8-F8&lt;=0,999,E8/((D8-F8)/12)),"")</f>
        <v/>
      </c>
      <c r="J8">
        <f>IFERROR(IF(G8&lt;=0,"Tolerate - fix costs more than the bleed",IF(I8&lt;=6,"Fix now - pays back in under 6 months",IF(I8&lt;=18,"Fix - solid payback","Marginal - monitor before investing"))),"")</f>
        <v/>
      </c>
    </row>
    <row r="9">
      <c r="A9" t="inlineStr">
        <is>
          <t>Customer Expectation</t>
        </is>
      </c>
      <c r="B9" t="n">
        <v>2188</v>
      </c>
      <c r="C9" t="n">
        <v>0.5</v>
      </c>
      <c r="D9">
        <f>IFERROR(B9*C9,"")</f>
        <v/>
      </c>
      <c r="E9" t="n">
        <v>0</v>
      </c>
      <c r="F9" t="n">
        <v>1500</v>
      </c>
      <c r="G9">
        <f>IFERROR(D9-E9-F9,"")</f>
        <v/>
      </c>
      <c r="H9">
        <f>IFERROR(IF((E9+F9)=0,0,G9/(E9+F9)),"")</f>
        <v/>
      </c>
      <c r="I9">
        <f>IFERROR(IF(D9-F9&lt;=0,999,E9/((D9-F9)/12)),"")</f>
        <v/>
      </c>
      <c r="J9">
        <f>IFERROR(IF(G9&lt;=0,"Tolerate - fix costs more than the bleed",IF(I9&lt;=6,"Fix now - pays back in under 6 months",IF(I9&lt;=18,"Fix - solid payback","Marginal - monitor before investing"))),"")</f>
        <v/>
      </c>
    </row>
    <row r="10">
      <c r="A10" t="inlineStr">
        <is>
          <t>Other</t>
        </is>
      </c>
      <c r="B10" t="n">
        <v>1000</v>
      </c>
      <c r="C10" t="n">
        <v>0.3</v>
      </c>
      <c r="D10">
        <f>IFERROR(B10*C10,"")</f>
        <v/>
      </c>
      <c r="E10" t="n">
        <v>0</v>
      </c>
      <c r="F10" t="n">
        <v>200</v>
      </c>
      <c r="G10">
        <f>IFERROR(D10-E10-F10,"")</f>
        <v/>
      </c>
      <c r="H10">
        <f>IFERROR(IF((E10+F10)=0,0,G10/(E10+F10)),"")</f>
        <v/>
      </c>
      <c r="I10">
        <f>IFERROR(IF(D10-F10&lt;=0,999,E10/((D10-F10)/12)),"")</f>
        <v/>
      </c>
      <c r="J10">
        <f>IFERROR(IF(G10&lt;=0,"Tolerate - fix costs more than the bleed",IF(I10&lt;=6,"Fix now - pays back in under 6 months",IF(I10&lt;=18,"Fix - solid payback","Marginal - monitor before investing"))),"")</f>
        <v/>
      </c>
    </row>
    <row r="11">
      <c r="D11">
        <f>IFERROR(B11*C11,"")</f>
        <v/>
      </c>
      <c r="G11">
        <f>IFERROR(D11-E11-F11,"")</f>
        <v/>
      </c>
      <c r="H11">
        <f>IFERROR(IF((E11+F11)=0,0,G11/(E11+F11)),"")</f>
        <v/>
      </c>
      <c r="I11">
        <f>IFERROR(IF(D11-F11&lt;=0,999,E11/((D11-F11)/12)),"")</f>
        <v/>
      </c>
      <c r="J11">
        <f>IFERROR(IF(G11&lt;=0,"Tolerate - fix costs more than the bleed",IF(I11&lt;=6,"Fix now - pays back in under 6 months",IF(I11&lt;=18,"Fix - solid payback","Marginal - monitor before investing"))),"")</f>
        <v/>
      </c>
    </row>
    <row r="12">
      <c r="D12">
        <f>IFERROR(B12*C12,"")</f>
        <v/>
      </c>
      <c r="G12">
        <f>IFERROR(D12-E12-F12,"")</f>
        <v/>
      </c>
      <c r="H12">
        <f>IFERROR(IF((E12+F12)=0,0,G12/(E12+F12)),"")</f>
        <v/>
      </c>
      <c r="I12">
        <f>IFERROR(IF(D12-F12&lt;=0,999,E12/((D12-F12)/12)),"")</f>
        <v/>
      </c>
      <c r="J12">
        <f>IFERROR(IF(G12&lt;=0,"Tolerate - fix costs more than the bleed",IF(I12&lt;=6,"Fix now - pays back in under 6 months",IF(I12&lt;=18,"Fix - solid payback","Marginal - monitor before investing"))),"")</f>
        <v/>
      </c>
    </row>
    <row r="13">
      <c r="D13">
        <f>IFERROR(B13*C13,"")</f>
        <v/>
      </c>
      <c r="G13">
        <f>IFERROR(D13-E13-F13,"")</f>
        <v/>
      </c>
      <c r="H13">
        <f>IFERROR(IF((E13+F13)=0,0,G13/(E13+F13)),"")</f>
        <v/>
      </c>
      <c r="I13">
        <f>IFERROR(IF(D13-F13&lt;=0,999,E13/((D13-F13)/12)),"")</f>
        <v/>
      </c>
      <c r="J13">
        <f>IFERROR(IF(G13&lt;=0,"Tolerate - fix costs more than the bleed",IF(I13&lt;=6,"Fix now - pays back in under 6 months",IF(I13&lt;=18,"Fix - solid payback","Marginal - monitor before investing"))),"")</f>
        <v/>
      </c>
    </row>
    <row r="14">
      <c r="D14">
        <f>IFERROR(B14*C14,"")</f>
        <v/>
      </c>
      <c r="G14">
        <f>IFERROR(D14-E14-F14,"")</f>
        <v/>
      </c>
      <c r="H14">
        <f>IFERROR(IF((E14+F14)=0,0,G14/(E14+F14)),"")</f>
        <v/>
      </c>
      <c r="I14">
        <f>IFERROR(IF(D14-F14&lt;=0,999,E14/((D14-F14)/12)),"")</f>
        <v/>
      </c>
      <c r="J14">
        <f>IFERROR(IF(G14&lt;=0,"Tolerate - fix costs more than the bleed",IF(I14&lt;=6,"Fix now - pays back in under 6 months",IF(I14&lt;=18,"Fix - solid payback","Marginal - monitor before investing"))),"")</f>
        <v/>
      </c>
    </row>
    <row r="15">
      <c r="D15">
        <f>IFERROR(B15*C15,"")</f>
        <v/>
      </c>
      <c r="G15">
        <f>IFERROR(D15-E15-F15,"")</f>
        <v/>
      </c>
      <c r="H15">
        <f>IFERROR(IF((E15+F15)=0,0,G15/(E15+F15)),"")</f>
        <v/>
      </c>
      <c r="I15">
        <f>IFERROR(IF(D15-F15&lt;=0,999,E15/((D15-F15)/12)),"")</f>
        <v/>
      </c>
      <c r="J15">
        <f>IFERROR(IF(G15&lt;=0,"Tolerate - fix costs more than the bleed",IF(I15&lt;=6,"Fix now - pays back in under 6 months",IF(I15&lt;=18,"Fix - solid payback","Marginal - monitor before investing"))),"")</f>
        <v/>
      </c>
    </row>
    <row r="16">
      <c r="D16">
        <f>IFERROR(B16*C16,"")</f>
        <v/>
      </c>
      <c r="G16">
        <f>IFERROR(D16-E16-F16,"")</f>
        <v/>
      </c>
      <c r="H16">
        <f>IFERROR(IF((E16+F16)=0,0,G16/(E16+F16)),"")</f>
        <v/>
      </c>
      <c r="I16">
        <f>IFERROR(IF(D16-F16&lt;=0,999,E16/((D16-F16)/12)),"")</f>
        <v/>
      </c>
      <c r="J16">
        <f>IFERROR(IF(G16&lt;=0,"Tolerate - fix costs more than the bleed",IF(I16&lt;=6,"Fix now - pays back in under 6 months",IF(I16&lt;=18,"Fix - solid payback","Marginal - monitor before investing"))),"")</f>
        <v/>
      </c>
    </row>
    <row r="17">
      <c r="D17">
        <f>IFERROR(B17*C17,"")</f>
        <v/>
      </c>
      <c r="G17">
        <f>IFERROR(D17-E17-F17,"")</f>
        <v/>
      </c>
      <c r="H17">
        <f>IFERROR(IF((E17+F17)=0,0,G17/(E17+F17)),"")</f>
        <v/>
      </c>
      <c r="I17">
        <f>IFERROR(IF(D17-F17&lt;=0,999,E17/((D17-F17)/12)),"")</f>
        <v/>
      </c>
      <c r="J17">
        <f>IFERROR(IF(G17&lt;=0,"Tolerate - fix costs more than the bleed",IF(I17&lt;=6,"Fix now - pays back in under 6 months",IF(I17&lt;=18,"Fix - solid payback","Marginal - monitor before investing"))),"")</f>
        <v/>
      </c>
    </row>
    <row r="18">
      <c r="D18">
        <f>IFERROR(B18*C18,"")</f>
        <v/>
      </c>
      <c r="G18">
        <f>IFERROR(D18-E18-F18,"")</f>
        <v/>
      </c>
      <c r="H18">
        <f>IFERROR(IF((E18+F18)=0,0,G18/(E18+F18)),"")</f>
        <v/>
      </c>
      <c r="I18">
        <f>IFERROR(IF(D18-F18&lt;=0,999,E18/((D18-F18)/12)),"")</f>
        <v/>
      </c>
      <c r="J18">
        <f>IFERROR(IF(G18&lt;=0,"Tolerate - fix costs more than the bleed",IF(I18&lt;=6,"Fix now - pays back in under 6 months",IF(I18&lt;=18,"Fix - solid payback","Marginal - monitor before investing"))),"")</f>
        <v/>
      </c>
    </row>
    <row r="19">
      <c r="D19">
        <f>IFERROR(B19*C19,"")</f>
        <v/>
      </c>
      <c r="G19">
        <f>IFERROR(D19-E19-F19,"")</f>
        <v/>
      </c>
      <c r="H19">
        <f>IFERROR(IF((E19+F19)=0,0,G19/(E19+F19)),"")</f>
        <v/>
      </c>
      <c r="I19">
        <f>IFERROR(IF(D19-F19&lt;=0,999,E19/((D19-F19)/12)),"")</f>
        <v/>
      </c>
      <c r="J19">
        <f>IFERROR(IF(G19&lt;=0,"Tolerate - fix costs more than the bleed",IF(I19&lt;=6,"Fix now - pays back in under 6 months",IF(I19&lt;=18,"Fix - solid payback","Marginal - monitor before investing"))),"")</f>
        <v/>
      </c>
    </row>
    <row r="20">
      <c r="D20">
        <f>IFERROR(B20*C20,"")</f>
        <v/>
      </c>
      <c r="G20">
        <f>IFERROR(D20-E20-F20,"")</f>
        <v/>
      </c>
      <c r="H20">
        <f>IFERROR(IF((E20+F20)=0,0,G20/(E20+F20)),"")</f>
        <v/>
      </c>
      <c r="I20">
        <f>IFERROR(IF(D20-F20&lt;=0,999,E20/((D20-F20)/12)),"")</f>
        <v/>
      </c>
      <c r="J20">
        <f>IFERROR(IF(G20&lt;=0,"Tolerate - fix costs more than the bleed",IF(I20&lt;=6,"Fix now - pays back in under 6 months",IF(I20&lt;=18,"Fix - solid payback","Marginal - monitor before investing"))),"")</f>
        <v/>
      </c>
    </row>
    <row r="21">
      <c r="D21">
        <f>IFERROR(B21*C21,"")</f>
        <v/>
      </c>
      <c r="G21">
        <f>IFERROR(D21-E21-F21,"")</f>
        <v/>
      </c>
      <c r="H21">
        <f>IFERROR(IF((E21+F21)=0,0,G21/(E21+F21)),"")</f>
        <v/>
      </c>
      <c r="I21">
        <f>IFERROR(IF(D21-F21&lt;=0,999,E21/((D21-F21)/12)),"")</f>
        <v/>
      </c>
      <c r="J21">
        <f>IFERROR(IF(G21&lt;=0,"Tolerate - fix costs more than the bleed",IF(I21&lt;=6,"Fix now - pays back in under 6 months",IF(I21&lt;=18,"Fix - solid payback","Marginal - monitor before investing"))),"")</f>
        <v/>
      </c>
    </row>
    <row r="22">
      <c r="D22">
        <f>IFERROR(B22*C22,"")</f>
        <v/>
      </c>
      <c r="G22">
        <f>IFERROR(D22-E22-F22,"")</f>
        <v/>
      </c>
      <c r="H22">
        <f>IFERROR(IF((E22+F22)=0,0,G22/(E22+F22)),"")</f>
        <v/>
      </c>
      <c r="I22">
        <f>IFERROR(IF(D22-F22&lt;=0,999,E22/((D22-F22)/12)),"")</f>
        <v/>
      </c>
      <c r="J22">
        <f>IFERROR(IF(G22&lt;=0,"Tolerate - fix costs more than the bleed",IF(I22&lt;=6,"Fix now - pays back in under 6 months",IF(I22&lt;=18,"Fix - solid payback","Marginal - monitor before investing"))),"")</f>
        <v/>
      </c>
    </row>
    <row r="23">
      <c r="D23">
        <f>IFERROR(B23*C23,"")</f>
        <v/>
      </c>
      <c r="G23">
        <f>IFERROR(D23-E23-F23,"")</f>
        <v/>
      </c>
      <c r="H23">
        <f>IFERROR(IF((E23+F23)=0,0,G23/(E23+F23)),"")</f>
        <v/>
      </c>
      <c r="I23">
        <f>IFERROR(IF(D23-F23&lt;=0,999,E23/((D23-F23)/12)),"")</f>
        <v/>
      </c>
      <c r="J23">
        <f>IFERROR(IF(G23&lt;=0,"Tolerate - fix costs more than the bleed",IF(I23&lt;=6,"Fix now - pays back in under 6 months",IF(I23&lt;=18,"Fix - solid payback","Marginal - monitor before investing"))),"")</f>
        <v/>
      </c>
    </row>
    <row r="24">
      <c r="D24">
        <f>IFERROR(B24*C24,"")</f>
        <v/>
      </c>
      <c r="G24">
        <f>IFERROR(D24-E24-F24,"")</f>
        <v/>
      </c>
      <c r="H24">
        <f>IFERROR(IF((E24+F24)=0,0,G24/(E24+F24)),"")</f>
        <v/>
      </c>
      <c r="I24">
        <f>IFERROR(IF(D24-F24&lt;=0,999,E24/((D24-F24)/12)),"")</f>
        <v/>
      </c>
      <c r="J24">
        <f>IFERROR(IF(G24&lt;=0,"Tolerate - fix costs more than the bleed",IF(I24&lt;=6,"Fix now - pays back in under 6 months",IF(I24&lt;=18,"Fix - solid payback","Marginal - monitor before investing"))),"")</f>
        <v/>
      </c>
    </row>
    <row r="25">
      <c r="D25">
        <f>IFERROR(B25*C25,"")</f>
        <v/>
      </c>
      <c r="G25">
        <f>IFERROR(D25-E25-F25,"")</f>
        <v/>
      </c>
      <c r="H25">
        <f>IFERROR(IF((E25+F25)=0,0,G25/(E25+F25)),"")</f>
        <v/>
      </c>
      <c r="I25">
        <f>IFERROR(IF(D25-F25&lt;=0,999,E25/((D25-F25)/12)),"")</f>
        <v/>
      </c>
      <c r="J25">
        <f>IFERROR(IF(G25&lt;=0,"Tolerate - fix costs more than the bleed",IF(I25&lt;=6,"Fix now - pays back in under 6 months",IF(I25&lt;=18,"Fix - solid payback","Marginal - monitor before investing"))),"")</f>
        <v/>
      </c>
    </row>
  </sheetData>
  <mergeCells count="1">
    <mergeCell ref="A1:J3"/>
  </mergeCells>
  <conditionalFormatting sqref="H6:H25">
    <cfRule type="cellIs" priority="1" operator="greaterThan" dxfId="2">
      <formula>1</formula>
    </cfRule>
  </conditionalFormatting>
  <conditionalFormatting sqref="G6:G25">
    <cfRule type="cellIs" priority="2" operator="lessThan" dxfId="0">
      <formula>0</formula>
    </cfRule>
  </conditionalFormatting>
  <conditionalFormatting sqref="I6:I25">
    <cfRule type="cellIs" priority="3" operator="greaterThan" dxfId="1">
      <formula>18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2026-06-29T02:52:09Z</dcterms:created>
  <dcterms:modified xsi:type="dcterms:W3CDTF">2026-06-29T03:44:05Z</dcterms:modified>
</cp:coreProperties>
</file>