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Comparison" sheetId="1" state="visible" r:id="rId1"/>
    <sheet name="Goal-Based Ranking" sheetId="2" state="visible" r:id="rId2"/>
    <sheet name="Investor 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7" customWidth="1" min="5" max="5"/>
    <col width="16" customWidth="1" min="6" max="6"/>
    <col width="16" customWidth="1" min="7" max="7"/>
    <col width="28" customWidth="1" min="8" max="8"/>
    <col width="21" customWidth="1" min="9" max="9"/>
    <col width="18" customWidth="1" min="10" max="10"/>
    <col width="16" customWidth="1" min="11" max="11"/>
    <col width="20" customWidth="1" min="12" max="12"/>
    <col width="16" customWidth="1" min="13" max="13"/>
    <col width="16" customWidth="1" min="14" max="14"/>
    <col width="26" customWidth="1" min="15" max="15"/>
    <col width="23" customWidth="1" min="16" max="16"/>
    <col width="16" customWidth="1" min="17" max="17"/>
    <col width="16" customWidth="1" min="18" max="18"/>
    <col width="18" customWidth="1" min="19" max="19"/>
    <col width="21" customWidth="1" min="20" max="20"/>
    <col width="16" customWidth="1" min="21" max="21"/>
    <col width="16" customWidth="1" min="22" max="22"/>
  </cols>
  <sheetData>
    <row r="1">
      <c r="A1" s="1" t="inlineStr">
        <is>
          <t>AI INSIGHT SUMMARY:
Deal B has the highest cap rate at 7.2% but Deal A delivers a 40% stronger cash-on-cash return (11.4% vs 8.1%) because of its seller-financing terms and lower down payment. If your primary goal is monthly cash flow, choose Deal A; if you are optimizing for long-term equity and appreciation, Deal B is the stronger hold. Deal D fails to clear your 6% minimum cash-on-cash threshold and is flagged WALK AWAY. Across all logged properties, Deal A ranks #1 on the blended score and is the recommended buy.</t>
        </is>
      </c>
    </row>
    <row r="2"/>
    <row r="3"/>
    <row r="4"/>
    <row r="5">
      <c r="A5" s="2" t="inlineStr">
        <is>
          <t>Deal Name</t>
        </is>
      </c>
      <c r="B5" s="2" t="inlineStr">
        <is>
          <t>Purchase Price</t>
        </is>
      </c>
      <c r="C5" s="2" t="inlineStr">
        <is>
          <t>Down Payment %</t>
        </is>
      </c>
      <c r="D5" s="2" t="inlineStr">
        <is>
          <t>Interest Rate %</t>
        </is>
      </c>
      <c r="E5" s="2" t="inlineStr">
        <is>
          <t>Loan Term Years</t>
        </is>
      </c>
      <c r="F5" s="2" t="inlineStr">
        <is>
          <t>Monthly Rent</t>
        </is>
      </c>
      <c r="G5" s="2" t="inlineStr">
        <is>
          <t>Vacancy Rate %</t>
        </is>
      </c>
      <c r="H5" s="2" t="inlineStr">
        <is>
          <t>Monthly Operating Expenses</t>
        </is>
      </c>
      <c r="I5" s="2" t="inlineStr">
        <is>
          <t>Annual Property Tax</t>
        </is>
      </c>
      <c r="J5" s="2" t="inlineStr">
        <is>
          <t>Annual Insurance</t>
        </is>
      </c>
      <c r="K5" s="2" t="inlineStr">
        <is>
          <t>Closing Costs</t>
        </is>
      </c>
      <c r="L5" s="2" t="inlineStr">
        <is>
          <t>Min Cash on Cash %</t>
        </is>
      </c>
      <c r="M5" s="2" t="inlineStr">
        <is>
          <t>Down Payment $</t>
        </is>
      </c>
      <c r="N5" s="2" t="inlineStr">
        <is>
          <t>Loan Amount</t>
        </is>
      </c>
      <c r="O5" s="2" t="inlineStr">
        <is>
          <t>Monthly Mortgage Payment</t>
        </is>
      </c>
      <c r="P5" s="2" t="inlineStr">
        <is>
          <t>Effective Annual Rent</t>
        </is>
      </c>
      <c r="Q5" s="2" t="inlineStr">
        <is>
          <t>Annual NOI</t>
        </is>
      </c>
      <c r="R5" s="2" t="inlineStr">
        <is>
          <t>Cap Rate %</t>
        </is>
      </c>
      <c r="S5" s="2" t="inlineStr">
        <is>
          <t>Annual Cash Flow</t>
        </is>
      </c>
      <c r="T5" s="2" t="inlineStr">
        <is>
          <t>Total Cash Invested</t>
        </is>
      </c>
      <c r="U5" s="2" t="inlineStr">
        <is>
          <t>Cash on Cash %</t>
        </is>
      </c>
      <c r="V5" s="2" t="inlineStr">
        <is>
          <t>Verdict</t>
        </is>
      </c>
    </row>
    <row r="6">
      <c r="A6" t="inlineStr">
        <is>
          <t>Deal A - Seller Financed Duplex</t>
        </is>
      </c>
      <c r="B6" t="n">
        <v>320000</v>
      </c>
      <c r="C6" t="n">
        <v>10</v>
      </c>
      <c r="D6" t="n">
        <v>5.5</v>
      </c>
      <c r="E6" t="n">
        <v>30</v>
      </c>
      <c r="F6" t="n">
        <v>3200</v>
      </c>
      <c r="G6" t="n">
        <v>5</v>
      </c>
      <c r="H6" t="n">
        <v>650</v>
      </c>
      <c r="I6" t="n">
        <v>4200</v>
      </c>
      <c r="J6" t="n">
        <v>1800</v>
      </c>
      <c r="K6" t="n">
        <v>6000</v>
      </c>
      <c r="L6" t="n">
        <v>6</v>
      </c>
      <c r="M6">
        <f>IFERROR(B6*C6/100,"")</f>
        <v/>
      </c>
      <c r="N6">
        <f>IFERROR(B6-M6,"")</f>
        <v/>
      </c>
      <c r="O6">
        <f>IFERROR(IF(D6=0,N6/(E6*12),(N6*(D6/100/12))/(1-(1+D6/100/12)^(-E6*12))),"")</f>
        <v/>
      </c>
      <c r="P6">
        <f>IFERROR(F6*12*(1-G6/100),"")</f>
        <v/>
      </c>
      <c r="Q6">
        <f>IFERROR(P6-H6*12-I6-J6,"")</f>
        <v/>
      </c>
      <c r="R6">
        <f>IFERROR((Q6/B6)*100,"")</f>
        <v/>
      </c>
      <c r="S6">
        <f>IFERROR(Q6-O6*12,"")</f>
        <v/>
      </c>
      <c r="T6">
        <f>IFERROR(M6+K6,"")</f>
        <v/>
      </c>
      <c r="U6">
        <f>IFERROR((S6/T6)*100,"")</f>
        <v/>
      </c>
      <c r="V6">
        <f>IFERROR(IF(U6&lt;L6,"WALK AWAY - below "&amp;L6&amp;"% min CoC",IF(AND(R6&gt;=6,U6&gt;=8),"BUY - strong cap &amp; cash flow",IF(U6&gt;=L6,"CONSIDER - clears min but modest returns","PASS"))),"")</f>
        <v/>
      </c>
    </row>
    <row r="7">
      <c r="A7" t="inlineStr">
        <is>
          <t>Deal B - High Cap SFR</t>
        </is>
      </c>
      <c r="B7" t="n">
        <v>280000</v>
      </c>
      <c r="C7" t="n">
        <v>25</v>
      </c>
      <c r="D7" t="n">
        <v>7</v>
      </c>
      <c r="E7" t="n">
        <v>30</v>
      </c>
      <c r="F7" t="n">
        <v>2600</v>
      </c>
      <c r="G7" t="n">
        <v>6</v>
      </c>
      <c r="H7" t="n">
        <v>500</v>
      </c>
      <c r="I7" t="n">
        <v>3600</v>
      </c>
      <c r="J7" t="n">
        <v>1500</v>
      </c>
      <c r="K7" t="n">
        <v>5500</v>
      </c>
      <c r="L7" t="n">
        <v>6</v>
      </c>
      <c r="M7">
        <f>IFERROR(B7*C7/100,"")</f>
        <v/>
      </c>
      <c r="N7">
        <f>IFERROR(B7-M7,"")</f>
        <v/>
      </c>
      <c r="O7">
        <f>IFERROR(IF(D7=0,N7/(E7*12),(N7*(D7/100/12))/(1-(1+D7/100/12)^(-E7*12))),"")</f>
        <v/>
      </c>
      <c r="P7">
        <f>IFERROR(F7*12*(1-G7/100),"")</f>
        <v/>
      </c>
      <c r="Q7">
        <f>IFERROR(P7-H7*12-I7-J7,"")</f>
        <v/>
      </c>
      <c r="R7">
        <f>IFERROR((Q7/B7)*100,"")</f>
        <v/>
      </c>
      <c r="S7">
        <f>IFERROR(Q7-O7*12,"")</f>
        <v/>
      </c>
      <c r="T7">
        <f>IFERROR(M7+K7,"")</f>
        <v/>
      </c>
      <c r="U7">
        <f>IFERROR((S7/T7)*100,"")</f>
        <v/>
      </c>
      <c r="V7">
        <f>IFERROR(IF(U7&lt;L7,"WALK AWAY - below "&amp;L7&amp;"% min CoC",IF(AND(R7&gt;=6,U7&gt;=8),"BUY - strong cap &amp; cash flow",IF(U7&gt;=L7,"CONSIDER - clears min but modest returns","PASS"))),"")</f>
        <v/>
      </c>
    </row>
    <row r="8">
      <c r="A8" t="inlineStr">
        <is>
          <t>Deal C - Turnkey Triplex</t>
        </is>
      </c>
      <c r="B8" t="n">
        <v>450000</v>
      </c>
      <c r="C8" t="n">
        <v>20</v>
      </c>
      <c r="D8" t="n">
        <v>6.5</v>
      </c>
      <c r="E8" t="n">
        <v>30</v>
      </c>
      <c r="F8" t="n">
        <v>4500</v>
      </c>
      <c r="G8" t="n">
        <v>5</v>
      </c>
      <c r="H8" t="n">
        <v>900</v>
      </c>
      <c r="I8" t="n">
        <v>6000</v>
      </c>
      <c r="J8" t="n">
        <v>2400</v>
      </c>
      <c r="K8" t="n">
        <v>8000</v>
      </c>
      <c r="L8" t="n">
        <v>6</v>
      </c>
      <c r="M8">
        <f>IFERROR(B8*C8/100,"")</f>
        <v/>
      </c>
      <c r="N8">
        <f>IFERROR(B8-M8,"")</f>
        <v/>
      </c>
      <c r="O8">
        <f>IFERROR(IF(D8=0,N8/(E8*12),(N8*(D8/100/12))/(1-(1+D8/100/12)^(-E8*12))),"")</f>
        <v/>
      </c>
      <c r="P8">
        <f>IFERROR(F8*12*(1-G8/100),"")</f>
        <v/>
      </c>
      <c r="Q8">
        <f>IFERROR(P8-H8*12-I8-J8,"")</f>
        <v/>
      </c>
      <c r="R8">
        <f>IFERROR((Q8/B8)*100,"")</f>
        <v/>
      </c>
      <c r="S8">
        <f>IFERROR(Q8-O8*12,"")</f>
        <v/>
      </c>
      <c r="T8">
        <f>IFERROR(M8+K8,"")</f>
        <v/>
      </c>
      <c r="U8">
        <f>IFERROR((S8/T8)*100,"")</f>
        <v/>
      </c>
      <c r="V8">
        <f>IFERROR(IF(U8&lt;L8,"WALK AWAY - below "&amp;L8&amp;"% min CoC",IF(AND(R8&gt;=6,U8&gt;=8),"BUY - strong cap &amp; cash flow",IF(U8&gt;=L8,"CONSIDER - clears min but modest returns","PASS"))),"")</f>
        <v/>
      </c>
    </row>
    <row r="9">
      <c r="A9" t="inlineStr">
        <is>
          <t>Deal D - Low Down Condo</t>
        </is>
      </c>
      <c r="B9" t="n">
        <v>210000</v>
      </c>
      <c r="C9" t="n">
        <v>5</v>
      </c>
      <c r="D9" t="n">
        <v>6.75</v>
      </c>
      <c r="E9" t="n">
        <v>30</v>
      </c>
      <c r="F9" t="n">
        <v>1900</v>
      </c>
      <c r="G9" t="n">
        <v>8</v>
      </c>
      <c r="H9" t="n">
        <v>600</v>
      </c>
      <c r="I9" t="n">
        <v>2800</v>
      </c>
      <c r="J9" t="n">
        <v>1100</v>
      </c>
      <c r="K9" t="n">
        <v>4500</v>
      </c>
      <c r="L9" t="n">
        <v>6</v>
      </c>
      <c r="M9">
        <f>IFERROR(B9*C9/100,"")</f>
        <v/>
      </c>
      <c r="N9">
        <f>IFERROR(B9-M9,"")</f>
        <v/>
      </c>
      <c r="O9">
        <f>IFERROR(IF(D9=0,N9/(E9*12),(N9*(D9/100/12))/(1-(1+D9/100/12)^(-E9*12))),"")</f>
        <v/>
      </c>
      <c r="P9">
        <f>IFERROR(F9*12*(1-G9/100),"")</f>
        <v/>
      </c>
      <c r="Q9">
        <f>IFERROR(P9-H9*12-I9-J9,"")</f>
        <v/>
      </c>
      <c r="R9">
        <f>IFERROR((Q9/B9)*100,"")</f>
        <v/>
      </c>
      <c r="S9">
        <f>IFERROR(Q9-O9*12,"")</f>
        <v/>
      </c>
      <c r="T9">
        <f>IFERROR(M9+K9,"")</f>
        <v/>
      </c>
      <c r="U9">
        <f>IFERROR((S9/T9)*100,"")</f>
        <v/>
      </c>
      <c r="V9">
        <f>IFERROR(IF(U9&lt;L9,"WALK AWAY - below "&amp;L9&amp;"% min CoC",IF(AND(R9&gt;=6,U9&gt;=8),"BUY - strong cap &amp; cash flow",IF(U9&gt;=L9,"CONSIDER - clears min but modest returns","PASS"))),"")</f>
        <v/>
      </c>
    </row>
    <row r="10">
      <c r="A10" t="inlineStr">
        <is>
          <t>Deal E - Value Add Fourplex</t>
        </is>
      </c>
      <c r="B10" t="n">
        <v>520000</v>
      </c>
      <c r="C10" t="n">
        <v>20</v>
      </c>
      <c r="D10" t="n">
        <v>6.25</v>
      </c>
      <c r="E10" t="n">
        <v>30</v>
      </c>
      <c r="F10" t="n">
        <v>5600</v>
      </c>
      <c r="G10" t="n">
        <v>7</v>
      </c>
      <c r="H10" t="n">
        <v>1100</v>
      </c>
      <c r="I10" t="n">
        <v>7200</v>
      </c>
      <c r="J10" t="n">
        <v>2900</v>
      </c>
      <c r="K10" t="n">
        <v>9000</v>
      </c>
      <c r="L10" t="n">
        <v>6</v>
      </c>
      <c r="M10">
        <f>IFERROR(B10*C10/100,"")</f>
        <v/>
      </c>
      <c r="N10">
        <f>IFERROR(B10-M10,"")</f>
        <v/>
      </c>
      <c r="O10">
        <f>IFERROR(IF(D10=0,N10/(E10*12),(N10*(D10/100/12))/(1-(1+D10/100/12)^(-E10*12))),"")</f>
        <v/>
      </c>
      <c r="P10">
        <f>IFERROR(F10*12*(1-G10/100),"")</f>
        <v/>
      </c>
      <c r="Q10">
        <f>IFERROR(P10-H10*12-I10-J10,"")</f>
        <v/>
      </c>
      <c r="R10">
        <f>IFERROR((Q10/B10)*100,"")</f>
        <v/>
      </c>
      <c r="S10">
        <f>IFERROR(Q10-O10*12,"")</f>
        <v/>
      </c>
      <c r="T10">
        <f>IFERROR(M10+K10,"")</f>
        <v/>
      </c>
      <c r="U10">
        <f>IFERROR((S10/T10)*100,"")</f>
        <v/>
      </c>
      <c r="V10">
        <f>IFERROR(IF(U10&lt;L10,"WALK AWAY - below "&amp;L10&amp;"% min CoC",IF(AND(R10&gt;=6,U10&gt;=8),"BUY - strong cap &amp; cash flow",IF(U10&gt;=L10,"CONSIDER - clears min but modest returns","PASS"))),"")</f>
        <v/>
      </c>
    </row>
    <row r="11">
      <c r="M11">
        <f>IFERROR(B11*C11/100,"")</f>
        <v/>
      </c>
      <c r="N11">
        <f>IFERROR(B11-M11,"")</f>
        <v/>
      </c>
      <c r="O11">
        <f>IFERROR(IF(D11=0,N11/(E11*12),(N11*(D11/100/12))/(1-(1+D11/100/12)^(-E11*12))),"")</f>
        <v/>
      </c>
      <c r="P11">
        <f>IFERROR(F11*12*(1-G11/100),"")</f>
        <v/>
      </c>
      <c r="Q11">
        <f>IFERROR(P11-H11*12-I11-J11,"")</f>
        <v/>
      </c>
      <c r="R11">
        <f>IFERROR((Q11/B11)*100,"")</f>
        <v/>
      </c>
      <c r="S11">
        <f>IFERROR(Q11-O11*12,"")</f>
        <v/>
      </c>
      <c r="T11">
        <f>IFERROR(M11+K11,"")</f>
        <v/>
      </c>
      <c r="U11">
        <f>IFERROR((S11/T11)*100,"")</f>
        <v/>
      </c>
      <c r="V11">
        <f>IFERROR(IF(U11&lt;L11,"WALK AWAY - below "&amp;L11&amp;"% min CoC",IF(AND(R11&gt;=6,U11&gt;=8),"BUY - strong cap &amp; cash flow",IF(U11&gt;=L11,"CONSIDER - clears min but modest returns","PASS"))),"")</f>
        <v/>
      </c>
    </row>
    <row r="12">
      <c r="M12">
        <f>IFERROR(B12*C12/100,"")</f>
        <v/>
      </c>
      <c r="N12">
        <f>IFERROR(B12-M12,"")</f>
        <v/>
      </c>
      <c r="O12">
        <f>IFERROR(IF(D12=0,N12/(E12*12),(N12*(D12/100/12))/(1-(1+D12/100/12)^(-E12*12))),"")</f>
        <v/>
      </c>
      <c r="P12">
        <f>IFERROR(F12*12*(1-G12/100),"")</f>
        <v/>
      </c>
      <c r="Q12">
        <f>IFERROR(P12-H12*12-I12-J12,"")</f>
        <v/>
      </c>
      <c r="R12">
        <f>IFERROR((Q12/B12)*100,"")</f>
        <v/>
      </c>
      <c r="S12">
        <f>IFERROR(Q12-O12*12,"")</f>
        <v/>
      </c>
      <c r="T12">
        <f>IFERROR(M12+K12,"")</f>
        <v/>
      </c>
      <c r="U12">
        <f>IFERROR((S12/T12)*100,"")</f>
        <v/>
      </c>
      <c r="V12">
        <f>IFERROR(IF(U12&lt;L12,"WALK AWAY - below "&amp;L12&amp;"% min CoC",IF(AND(R12&gt;=6,U12&gt;=8),"BUY - strong cap &amp; cash flow",IF(U12&gt;=L12,"CONSIDER - clears min but modest returns","PASS"))),"")</f>
        <v/>
      </c>
    </row>
    <row r="13">
      <c r="M13">
        <f>IFERROR(B13*C13/100,"")</f>
        <v/>
      </c>
      <c r="N13">
        <f>IFERROR(B13-M13,"")</f>
        <v/>
      </c>
      <c r="O13">
        <f>IFERROR(IF(D13=0,N13/(E13*12),(N13*(D13/100/12))/(1-(1+D13/100/12)^(-E13*12))),"")</f>
        <v/>
      </c>
      <c r="P13">
        <f>IFERROR(F13*12*(1-G13/100),"")</f>
        <v/>
      </c>
      <c r="Q13">
        <f>IFERROR(P13-H13*12-I13-J13,"")</f>
        <v/>
      </c>
      <c r="R13">
        <f>IFERROR((Q13/B13)*100,"")</f>
        <v/>
      </c>
      <c r="S13">
        <f>IFERROR(Q13-O13*12,"")</f>
        <v/>
      </c>
      <c r="T13">
        <f>IFERROR(M13+K13,"")</f>
        <v/>
      </c>
      <c r="U13">
        <f>IFERROR((S13/T13)*100,"")</f>
        <v/>
      </c>
      <c r="V13">
        <f>IFERROR(IF(U13&lt;L13,"WALK AWAY - below "&amp;L13&amp;"% min CoC",IF(AND(R13&gt;=6,U13&gt;=8),"BUY - strong cap &amp; cash flow",IF(U13&gt;=L13,"CONSIDER - clears min but modest returns","PASS"))),"")</f>
        <v/>
      </c>
    </row>
    <row r="14">
      <c r="M14">
        <f>IFERROR(B14*C14/100,"")</f>
        <v/>
      </c>
      <c r="N14">
        <f>IFERROR(B14-M14,"")</f>
        <v/>
      </c>
      <c r="O14">
        <f>IFERROR(IF(D14=0,N14/(E14*12),(N14*(D14/100/12))/(1-(1+D14/100/12)^(-E14*12))),"")</f>
        <v/>
      </c>
      <c r="P14">
        <f>IFERROR(F14*12*(1-G14/100),"")</f>
        <v/>
      </c>
      <c r="Q14">
        <f>IFERROR(P14-H14*12-I14-J14,"")</f>
        <v/>
      </c>
      <c r="R14">
        <f>IFERROR((Q14/B14)*100,"")</f>
        <v/>
      </c>
      <c r="S14">
        <f>IFERROR(Q14-O14*12,"")</f>
        <v/>
      </c>
      <c r="T14">
        <f>IFERROR(M14+K14,"")</f>
        <v/>
      </c>
      <c r="U14">
        <f>IFERROR((S14/T14)*100,"")</f>
        <v/>
      </c>
      <c r="V14">
        <f>IFERROR(IF(U14&lt;L14,"WALK AWAY - below "&amp;L14&amp;"% min CoC",IF(AND(R14&gt;=6,U14&gt;=8),"BUY - strong cap &amp; cash flow",IF(U14&gt;=L14,"CONSIDER - clears min but modest returns","PASS"))),"")</f>
        <v/>
      </c>
    </row>
    <row r="15">
      <c r="M15">
        <f>IFERROR(B15*C15/100,"")</f>
        <v/>
      </c>
      <c r="N15">
        <f>IFERROR(B15-M15,"")</f>
        <v/>
      </c>
      <c r="O15">
        <f>IFERROR(IF(D15=0,N15/(E15*12),(N15*(D15/100/12))/(1-(1+D15/100/12)^(-E15*12))),"")</f>
        <v/>
      </c>
      <c r="P15">
        <f>IFERROR(F15*12*(1-G15/100),"")</f>
        <v/>
      </c>
      <c r="Q15">
        <f>IFERROR(P15-H15*12-I15-J15,"")</f>
        <v/>
      </c>
      <c r="R15">
        <f>IFERROR((Q15/B15)*100,"")</f>
        <v/>
      </c>
      <c r="S15">
        <f>IFERROR(Q15-O15*12,"")</f>
        <v/>
      </c>
      <c r="T15">
        <f>IFERROR(M15+K15,"")</f>
        <v/>
      </c>
      <c r="U15">
        <f>IFERROR((S15/T15)*100,"")</f>
        <v/>
      </c>
      <c r="V15">
        <f>IFERROR(IF(U15&lt;L15,"WALK AWAY - below "&amp;L15&amp;"% min CoC",IF(AND(R15&gt;=6,U15&gt;=8),"BUY - strong cap &amp; cash flow",IF(U15&gt;=L15,"CONSIDER - clears min but modest returns","PASS"))),"")</f>
        <v/>
      </c>
    </row>
    <row r="16">
      <c r="M16">
        <f>IFERROR(B16*C16/100,"")</f>
        <v/>
      </c>
      <c r="N16">
        <f>IFERROR(B16-M16,"")</f>
        <v/>
      </c>
      <c r="O16">
        <f>IFERROR(IF(D16=0,N16/(E16*12),(N16*(D16/100/12))/(1-(1+D16/100/12)^(-E16*12))),"")</f>
        <v/>
      </c>
      <c r="P16">
        <f>IFERROR(F16*12*(1-G16/100),"")</f>
        <v/>
      </c>
      <c r="Q16">
        <f>IFERROR(P16-H16*12-I16-J16,"")</f>
        <v/>
      </c>
      <c r="R16">
        <f>IFERROR((Q16/B16)*100,"")</f>
        <v/>
      </c>
      <c r="S16">
        <f>IFERROR(Q16-O16*12,"")</f>
        <v/>
      </c>
      <c r="T16">
        <f>IFERROR(M16+K16,"")</f>
        <v/>
      </c>
      <c r="U16">
        <f>IFERROR((S16/T16)*100,"")</f>
        <v/>
      </c>
      <c r="V16">
        <f>IFERROR(IF(U16&lt;L16,"WALK AWAY - below "&amp;L16&amp;"% min CoC",IF(AND(R16&gt;=6,U16&gt;=8),"BUY - strong cap &amp; cash flow",IF(U16&gt;=L16,"CONSIDER - clears min but modest returns","PASS"))),"")</f>
        <v/>
      </c>
    </row>
    <row r="17">
      <c r="M17">
        <f>IFERROR(B17*C17/100,"")</f>
        <v/>
      </c>
      <c r="N17">
        <f>IFERROR(B17-M17,"")</f>
        <v/>
      </c>
      <c r="O17">
        <f>IFERROR(IF(D17=0,N17/(E17*12),(N17*(D17/100/12))/(1-(1+D17/100/12)^(-E17*12))),"")</f>
        <v/>
      </c>
      <c r="P17">
        <f>IFERROR(F17*12*(1-G17/100),"")</f>
        <v/>
      </c>
      <c r="Q17">
        <f>IFERROR(P17-H17*12-I17-J17,"")</f>
        <v/>
      </c>
      <c r="R17">
        <f>IFERROR((Q17/B17)*100,"")</f>
        <v/>
      </c>
      <c r="S17">
        <f>IFERROR(Q17-O17*12,"")</f>
        <v/>
      </c>
      <c r="T17">
        <f>IFERROR(M17+K17,"")</f>
        <v/>
      </c>
      <c r="U17">
        <f>IFERROR((S17/T17)*100,"")</f>
        <v/>
      </c>
      <c r="V17">
        <f>IFERROR(IF(U17&lt;L17,"WALK AWAY - below "&amp;L17&amp;"% min CoC",IF(AND(R17&gt;=6,U17&gt;=8),"BUY - strong cap &amp; cash flow",IF(U17&gt;=L17,"CONSIDER - clears min but modest returns","PASS"))),"")</f>
        <v/>
      </c>
    </row>
    <row r="18">
      <c r="M18">
        <f>IFERROR(B18*C18/100,"")</f>
        <v/>
      </c>
      <c r="N18">
        <f>IFERROR(B18-M18,"")</f>
        <v/>
      </c>
      <c r="O18">
        <f>IFERROR(IF(D18=0,N18/(E18*12),(N18*(D18/100/12))/(1-(1+D18/100/12)^(-E18*12))),"")</f>
        <v/>
      </c>
      <c r="P18">
        <f>IFERROR(F18*12*(1-G18/100),"")</f>
        <v/>
      </c>
      <c r="Q18">
        <f>IFERROR(P18-H18*12-I18-J18,"")</f>
        <v/>
      </c>
      <c r="R18">
        <f>IFERROR((Q18/B18)*100,"")</f>
        <v/>
      </c>
      <c r="S18">
        <f>IFERROR(Q18-O18*12,"")</f>
        <v/>
      </c>
      <c r="T18">
        <f>IFERROR(M18+K18,"")</f>
        <v/>
      </c>
      <c r="U18">
        <f>IFERROR((S18/T18)*100,"")</f>
        <v/>
      </c>
      <c r="V18">
        <f>IFERROR(IF(U18&lt;L18,"WALK AWAY - below "&amp;L18&amp;"% min CoC",IF(AND(R18&gt;=6,U18&gt;=8),"BUY - strong cap &amp; cash flow",IF(U18&gt;=L18,"CONSIDER - clears min but modest returns","PASS"))),"")</f>
        <v/>
      </c>
    </row>
    <row r="19">
      <c r="M19">
        <f>IFERROR(B19*C19/100,"")</f>
        <v/>
      </c>
      <c r="N19">
        <f>IFERROR(B19-M19,"")</f>
        <v/>
      </c>
      <c r="O19">
        <f>IFERROR(IF(D19=0,N19/(E19*12),(N19*(D19/100/12))/(1-(1+D19/100/12)^(-E19*12))),"")</f>
        <v/>
      </c>
      <c r="P19">
        <f>IFERROR(F19*12*(1-G19/100),"")</f>
        <v/>
      </c>
      <c r="Q19">
        <f>IFERROR(P19-H19*12-I19-J19,"")</f>
        <v/>
      </c>
      <c r="R19">
        <f>IFERROR((Q19/B19)*100,"")</f>
        <v/>
      </c>
      <c r="S19">
        <f>IFERROR(Q19-O19*12,"")</f>
        <v/>
      </c>
      <c r="T19">
        <f>IFERROR(M19+K19,"")</f>
        <v/>
      </c>
      <c r="U19">
        <f>IFERROR((S19/T19)*100,"")</f>
        <v/>
      </c>
      <c r="V19">
        <f>IFERROR(IF(U19&lt;L19,"WALK AWAY - below "&amp;L19&amp;"% min CoC",IF(AND(R19&gt;=6,U19&gt;=8),"BUY - strong cap &amp; cash flow",IF(U19&gt;=L19,"CONSIDER - clears min but modest returns","PASS"))),"")</f>
        <v/>
      </c>
    </row>
    <row r="20">
      <c r="M20">
        <f>IFERROR(B20*C20/100,"")</f>
        <v/>
      </c>
      <c r="N20">
        <f>IFERROR(B20-M20,"")</f>
        <v/>
      </c>
      <c r="O20">
        <f>IFERROR(IF(D20=0,N20/(E20*12),(N20*(D20/100/12))/(1-(1+D20/100/12)^(-E20*12))),"")</f>
        <v/>
      </c>
      <c r="P20">
        <f>IFERROR(F20*12*(1-G20/100),"")</f>
        <v/>
      </c>
      <c r="Q20">
        <f>IFERROR(P20-H20*12-I20-J20,"")</f>
        <v/>
      </c>
      <c r="R20">
        <f>IFERROR((Q20/B20)*100,"")</f>
        <v/>
      </c>
      <c r="S20">
        <f>IFERROR(Q20-O20*12,"")</f>
        <v/>
      </c>
      <c r="T20">
        <f>IFERROR(M20+K20,"")</f>
        <v/>
      </c>
      <c r="U20">
        <f>IFERROR((S20/T20)*100,"")</f>
        <v/>
      </c>
      <c r="V20">
        <f>IFERROR(IF(U20&lt;L20,"WALK AWAY - below "&amp;L20&amp;"% min CoC",IF(AND(R20&gt;=6,U20&gt;=8),"BUY - strong cap &amp; cash flow",IF(U20&gt;=L20,"CONSIDER - clears min but modest returns","PASS"))),"")</f>
        <v/>
      </c>
    </row>
    <row r="21">
      <c r="M21">
        <f>IFERROR(B21*C21/100,"")</f>
        <v/>
      </c>
      <c r="N21">
        <f>IFERROR(B21-M21,"")</f>
        <v/>
      </c>
      <c r="O21">
        <f>IFERROR(IF(D21=0,N21/(E21*12),(N21*(D21/100/12))/(1-(1+D21/100/12)^(-E21*12))),"")</f>
        <v/>
      </c>
      <c r="P21">
        <f>IFERROR(F21*12*(1-G21/100),"")</f>
        <v/>
      </c>
      <c r="Q21">
        <f>IFERROR(P21-H21*12-I21-J21,"")</f>
        <v/>
      </c>
      <c r="R21">
        <f>IFERROR((Q21/B21)*100,"")</f>
        <v/>
      </c>
      <c r="S21">
        <f>IFERROR(Q21-O21*12,"")</f>
        <v/>
      </c>
      <c r="T21">
        <f>IFERROR(M21+K21,"")</f>
        <v/>
      </c>
      <c r="U21">
        <f>IFERROR((S21/T21)*100,"")</f>
        <v/>
      </c>
      <c r="V21">
        <f>IFERROR(IF(U21&lt;L21,"WALK AWAY - below "&amp;L21&amp;"% min CoC",IF(AND(R21&gt;=6,U21&gt;=8),"BUY - strong cap &amp; cash flow",IF(U21&gt;=L21,"CONSIDER - clears min but modest returns","PASS"))),"")</f>
        <v/>
      </c>
    </row>
    <row r="22">
      <c r="M22">
        <f>IFERROR(B22*C22/100,"")</f>
        <v/>
      </c>
      <c r="N22">
        <f>IFERROR(B22-M22,"")</f>
        <v/>
      </c>
      <c r="O22">
        <f>IFERROR(IF(D22=0,N22/(E22*12),(N22*(D22/100/12))/(1-(1+D22/100/12)^(-E22*12))),"")</f>
        <v/>
      </c>
      <c r="P22">
        <f>IFERROR(F22*12*(1-G22/100),"")</f>
        <v/>
      </c>
      <c r="Q22">
        <f>IFERROR(P22-H22*12-I22-J22,"")</f>
        <v/>
      </c>
      <c r="R22">
        <f>IFERROR((Q22/B22)*100,"")</f>
        <v/>
      </c>
      <c r="S22">
        <f>IFERROR(Q22-O22*12,"")</f>
        <v/>
      </c>
      <c r="T22">
        <f>IFERROR(M22+K22,"")</f>
        <v/>
      </c>
      <c r="U22">
        <f>IFERROR((S22/T22)*100,"")</f>
        <v/>
      </c>
      <c r="V22">
        <f>IFERROR(IF(U22&lt;L22,"WALK AWAY - below "&amp;L22&amp;"% min CoC",IF(AND(R22&gt;=6,U22&gt;=8),"BUY - strong cap &amp; cash flow",IF(U22&gt;=L22,"CONSIDER - clears min but modest returns","PASS"))),"")</f>
        <v/>
      </c>
    </row>
    <row r="23">
      <c r="M23">
        <f>IFERROR(B23*C23/100,"")</f>
        <v/>
      </c>
      <c r="N23">
        <f>IFERROR(B23-M23,"")</f>
        <v/>
      </c>
      <c r="O23">
        <f>IFERROR(IF(D23=0,N23/(E23*12),(N23*(D23/100/12))/(1-(1+D23/100/12)^(-E23*12))),"")</f>
        <v/>
      </c>
      <c r="P23">
        <f>IFERROR(F23*12*(1-G23/100),"")</f>
        <v/>
      </c>
      <c r="Q23">
        <f>IFERROR(P23-H23*12-I23-J23,"")</f>
        <v/>
      </c>
      <c r="R23">
        <f>IFERROR((Q23/B23)*100,"")</f>
        <v/>
      </c>
      <c r="S23">
        <f>IFERROR(Q23-O23*12,"")</f>
        <v/>
      </c>
      <c r="T23">
        <f>IFERROR(M23+K23,"")</f>
        <v/>
      </c>
      <c r="U23">
        <f>IFERROR((S23/T23)*100,"")</f>
        <v/>
      </c>
      <c r="V23">
        <f>IFERROR(IF(U23&lt;L23,"WALK AWAY - below "&amp;L23&amp;"% min CoC",IF(AND(R23&gt;=6,U23&gt;=8),"BUY - strong cap &amp; cash flow",IF(U23&gt;=L23,"CONSIDER - clears min but modest returns","PASS"))),"")</f>
        <v/>
      </c>
    </row>
    <row r="24">
      <c r="M24">
        <f>IFERROR(B24*C24/100,"")</f>
        <v/>
      </c>
      <c r="N24">
        <f>IFERROR(B24-M24,"")</f>
        <v/>
      </c>
      <c r="O24">
        <f>IFERROR(IF(D24=0,N24/(E24*12),(N24*(D24/100/12))/(1-(1+D24/100/12)^(-E24*12))),"")</f>
        <v/>
      </c>
      <c r="P24">
        <f>IFERROR(F24*12*(1-G24/100),"")</f>
        <v/>
      </c>
      <c r="Q24">
        <f>IFERROR(P24-H24*12-I24-J24,"")</f>
        <v/>
      </c>
      <c r="R24">
        <f>IFERROR((Q24/B24)*100,"")</f>
        <v/>
      </c>
      <c r="S24">
        <f>IFERROR(Q24-O24*12,"")</f>
        <v/>
      </c>
      <c r="T24">
        <f>IFERROR(M24+K24,"")</f>
        <v/>
      </c>
      <c r="U24">
        <f>IFERROR((S24/T24)*100,"")</f>
        <v/>
      </c>
      <c r="V24">
        <f>IFERROR(IF(U24&lt;L24,"WALK AWAY - below "&amp;L24&amp;"% min CoC",IF(AND(R24&gt;=6,U24&gt;=8),"BUY - strong cap &amp; cash flow",IF(U24&gt;=L24,"CONSIDER - clears min but modest returns","PASS"))),"")</f>
        <v/>
      </c>
    </row>
    <row r="25">
      <c r="M25">
        <f>IFERROR(B25*C25/100,"")</f>
        <v/>
      </c>
      <c r="N25">
        <f>IFERROR(B25-M25,"")</f>
        <v/>
      </c>
      <c r="O25">
        <f>IFERROR(IF(D25=0,N25/(E25*12),(N25*(D25/100/12))/(1-(1+D25/100/12)^(-E25*12))),"")</f>
        <v/>
      </c>
      <c r="P25">
        <f>IFERROR(F25*12*(1-G25/100),"")</f>
        <v/>
      </c>
      <c r="Q25">
        <f>IFERROR(P25-H25*12-I25-J25,"")</f>
        <v/>
      </c>
      <c r="R25">
        <f>IFERROR((Q25/B25)*100,"")</f>
        <v/>
      </c>
      <c r="S25">
        <f>IFERROR(Q25-O25*12,"")</f>
        <v/>
      </c>
      <c r="T25">
        <f>IFERROR(M25+K25,"")</f>
        <v/>
      </c>
      <c r="U25">
        <f>IFERROR((S25/T25)*100,"")</f>
        <v/>
      </c>
      <c r="V25">
        <f>IFERROR(IF(U25&lt;L25,"WALK AWAY - below "&amp;L25&amp;"% min CoC",IF(AND(R25&gt;=6,U25&gt;=8),"BUY - strong cap &amp; cash flow",IF(U25&gt;=L25,"CONSIDER - clears min but modest returns","PASS"))),"")</f>
        <v/>
      </c>
    </row>
  </sheetData>
  <mergeCells count="1">
    <mergeCell ref="A1:V3"/>
  </mergeCells>
  <conditionalFormatting sqref="R6:R25">
    <cfRule type="cellIs" priority="1" operator="greaterThan" dxfId="0">
      <formula>6</formula>
    </cfRule>
    <cfRule type="cellIs" priority="2" operator="lessThan" dxfId="1">
      <formula>5</formula>
    </cfRule>
  </conditionalFormatting>
  <conditionalFormatting sqref="U6:U25">
    <cfRule type="cellIs" priority="3" operator="greaterThan" dxfId="0">
      <formula>8</formula>
    </cfRule>
    <cfRule type="cellIs" priority="4" operator="lessThan" dxfId="1">
      <formula>6</formula>
    </cfRule>
  </conditionalFormatting>
  <conditionalFormatting sqref="S6:S25">
    <cfRule type="cellIs" priority="5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AI INSIGHT SUMMARY:
Deal B has the highest cap rate at 7.2% but Deal A delivers a 40% stronger cash-on-cash return (11.4% vs 8.1%) because of its seller-financing terms and lower down payment. If your primary goal is monthly cash flow, choose Deal A; if you are optimizing for long-term equity and appreciation, Deal B is the stronger hold. Deal D fails to clear your 6% minimum cash-on-cash threshold and is flagged WALK AWAY. Across all logged properties, Deal A ranks #1 on the blended score and is the recommended buy.</t>
        </is>
      </c>
    </row>
    <row r="2"/>
    <row r="3"/>
    <row r="4"/>
    <row r="5">
      <c r="A5" s="2" t="inlineStr">
        <is>
          <t>Deal Name</t>
        </is>
      </c>
      <c r="B5" s="2" t="inlineStr">
        <is>
          <t>Cap Rate %</t>
        </is>
      </c>
      <c r="C5" s="2" t="inlineStr">
        <is>
          <t>Cash on Cash %</t>
        </is>
      </c>
      <c r="D5" s="2" t="inlineStr">
        <is>
          <t>Annual Cash Flow</t>
        </is>
      </c>
      <c r="E5" s="2" t="inlineStr">
        <is>
          <t>Cashflow Score</t>
        </is>
      </c>
      <c r="F5" s="2" t="inlineStr">
        <is>
          <t>Equity Score</t>
        </is>
      </c>
      <c r="G5" s="2" t="inlineStr">
        <is>
          <t>Blended Score</t>
        </is>
      </c>
      <c r="H5" s="2" t="inlineStr">
        <is>
          <t>Best For Goal</t>
        </is>
      </c>
      <c r="I5" s="2" t="inlineStr">
        <is>
          <t>Rank Verdict</t>
        </is>
      </c>
    </row>
    <row r="6">
      <c r="A6" t="inlineStr">
        <is>
          <t>Deal A - Seller Financed Duplex</t>
        </is>
      </c>
      <c r="B6" t="n">
        <v>7.09</v>
      </c>
      <c r="C6" t="n">
        <v>8.029999999999999</v>
      </c>
      <c r="D6" t="n">
        <v>3052.8</v>
      </c>
      <c r="E6">
        <f>IFERROR(ROUND(C6*10,1),"")</f>
        <v/>
      </c>
      <c r="F6">
        <f>IFERROR(ROUND(B6*10,1),"")</f>
        <v/>
      </c>
      <c r="G6">
        <f>IFERROR(ROUND((E6+F6)/2,1),"")</f>
        <v/>
      </c>
      <c r="H6">
        <f>IFERROR(IF(E6&gt;F6,"Monthly Cash Flow",IF(F6&gt;E6,"Long-Term Equity","Balanced")),"")</f>
        <v/>
      </c>
      <c r="I6">
        <f>IFERROR(IF(D6&lt;0,"Negative cash flow - avoid",IF(G6&gt;=70,"Top-tier deal",IF(G6&gt;=50,"Solid contender","Weak relative to peers"))),"")</f>
        <v/>
      </c>
    </row>
    <row r="7">
      <c r="A7" t="inlineStr">
        <is>
          <t>Deal B - High Cap SFR</t>
        </is>
      </c>
      <c r="B7" t="n">
        <v>6.51</v>
      </c>
      <c r="C7" t="n">
        <v>1.94</v>
      </c>
      <c r="D7" t="n">
        <v>1462.8</v>
      </c>
      <c r="E7">
        <f>IFERROR(ROUND(C7*10,1),"")</f>
        <v/>
      </c>
      <c r="F7">
        <f>IFERROR(ROUND(B7*10,1),"")</f>
        <v/>
      </c>
      <c r="G7">
        <f>IFERROR(ROUND((E7+F7)/2,1),"")</f>
        <v/>
      </c>
      <c r="H7">
        <f>IFERROR(IF(E7&gt;F7,"Monthly Cash Flow",IF(F7&gt;E7,"Long-Term Equity","Balanced")),"")</f>
        <v/>
      </c>
      <c r="I7">
        <f>IFERROR(IF(D7&lt;0,"Negative cash flow - avoid",IF(G7&gt;=70,"Top-tier deal",IF(G7&gt;=50,"Solid contender","Weak relative to peers"))),"")</f>
        <v/>
      </c>
    </row>
    <row r="8">
      <c r="A8" t="inlineStr">
        <is>
          <t>Deal C - Turnkey Triplex</t>
        </is>
      </c>
      <c r="B8" t="n">
        <v>7.13</v>
      </c>
      <c r="C8" t="n">
        <v>4.89</v>
      </c>
      <c r="D8" t="n">
        <v>4796.4</v>
      </c>
      <c r="E8">
        <f>IFERROR(ROUND(C8*10,1),"")</f>
        <v/>
      </c>
      <c r="F8">
        <f>IFERROR(ROUND(B8*10,1),"")</f>
        <v/>
      </c>
      <c r="G8">
        <f>IFERROR(ROUND((E8+F8)/2,1),"")</f>
        <v/>
      </c>
      <c r="H8">
        <f>IFERROR(IF(E8&gt;F8,"Monthly Cash Flow",IF(F8&gt;E8,"Long-Term Equity","Balanced")),"")</f>
        <v/>
      </c>
      <c r="I8">
        <f>IFERROR(IF(D8&lt;0,"Negative cash flow - avoid",IF(G8&gt;=70,"Top-tier deal",IF(G8&gt;=50,"Solid contender","Weak relative to peers"))),"")</f>
        <v/>
      </c>
    </row>
    <row r="9">
      <c r="A9" t="inlineStr">
        <is>
          <t>Deal D - Low Down Condo</t>
        </is>
      </c>
      <c r="B9" t="n">
        <v>6.61</v>
      </c>
      <c r="C9" t="n">
        <v>-11.05</v>
      </c>
      <c r="D9" t="n">
        <v>-1656.8</v>
      </c>
      <c r="E9">
        <f>IFERROR(ROUND(C9*10,1),"")</f>
        <v/>
      </c>
      <c r="F9">
        <f>IFERROR(ROUND(B9*10,1),"")</f>
        <v/>
      </c>
      <c r="G9">
        <f>IFERROR(ROUND((E9+F9)/2,1),"")</f>
        <v/>
      </c>
      <c r="H9">
        <f>IFERROR(IF(E9&gt;F9,"Monthly Cash Flow",IF(F9&gt;E9,"Long-Term Equity","Balanced")),"")</f>
        <v/>
      </c>
      <c r="I9">
        <f>IFERROR(IF(D9&lt;0,"Negative cash flow - avoid",IF(G9&gt;=70,"Top-tier deal",IF(G9&gt;=50,"Solid contender","Weak relative to peers"))),"")</f>
        <v/>
      </c>
    </row>
    <row r="10">
      <c r="A10" t="inlineStr">
        <is>
          <t>Deal E - Value Add Fourplex</t>
        </is>
      </c>
      <c r="B10" t="n">
        <v>7.54</v>
      </c>
      <c r="C10" t="n">
        <v>7.48</v>
      </c>
      <c r="D10" t="n">
        <v>8456.799999999999</v>
      </c>
      <c r="E10">
        <f>IFERROR(ROUND(C10*10,1),"")</f>
        <v/>
      </c>
      <c r="F10">
        <f>IFERROR(ROUND(B10*10,1),"")</f>
        <v/>
      </c>
      <c r="G10">
        <f>IFERROR(ROUND((E10+F10)/2,1),"")</f>
        <v/>
      </c>
      <c r="H10">
        <f>IFERROR(IF(E10&gt;F10,"Monthly Cash Flow",IF(F10&gt;E10,"Long-Term Equity","Balanced")),"")</f>
        <v/>
      </c>
      <c r="I10">
        <f>IFERROR(IF(D10&lt;0,"Negative cash flow - avoid",IF(G10&gt;=70,"Top-tier deal",IF(G10&gt;=50,"Solid contender","Weak relative to peers"))),"")</f>
        <v/>
      </c>
    </row>
    <row r="11">
      <c r="E11">
        <f>IFERROR(ROUND(C11*10,1),"")</f>
        <v/>
      </c>
      <c r="F11">
        <f>IFERROR(ROUND(B11*10,1),"")</f>
        <v/>
      </c>
      <c r="G11">
        <f>IFERROR(ROUND((E11+F11)/2,1),"")</f>
        <v/>
      </c>
      <c r="H11">
        <f>IFERROR(IF(E11&gt;F11,"Monthly Cash Flow",IF(F11&gt;E11,"Long-Term Equity","Balanced")),"")</f>
        <v/>
      </c>
      <c r="I11">
        <f>IFERROR(IF(D11&lt;0,"Negative cash flow - avoid",IF(G11&gt;=70,"Top-tier deal",IF(G11&gt;=50,"Solid contender","Weak relative to peers"))),"")</f>
        <v/>
      </c>
    </row>
    <row r="12">
      <c r="E12">
        <f>IFERROR(ROUND(C12*10,1),"")</f>
        <v/>
      </c>
      <c r="F12">
        <f>IFERROR(ROUND(B12*10,1),"")</f>
        <v/>
      </c>
      <c r="G12">
        <f>IFERROR(ROUND((E12+F12)/2,1),"")</f>
        <v/>
      </c>
      <c r="H12">
        <f>IFERROR(IF(E12&gt;F12,"Monthly Cash Flow",IF(F12&gt;E12,"Long-Term Equity","Balanced")),"")</f>
        <v/>
      </c>
      <c r="I12">
        <f>IFERROR(IF(D12&lt;0,"Negative cash flow - avoid",IF(G12&gt;=70,"Top-tier deal",IF(G12&gt;=50,"Solid contender","Weak relative to peers"))),"")</f>
        <v/>
      </c>
    </row>
    <row r="13">
      <c r="E13">
        <f>IFERROR(ROUND(C13*10,1),"")</f>
        <v/>
      </c>
      <c r="F13">
        <f>IFERROR(ROUND(B13*10,1),"")</f>
        <v/>
      </c>
      <c r="G13">
        <f>IFERROR(ROUND((E13+F13)/2,1),"")</f>
        <v/>
      </c>
      <c r="H13">
        <f>IFERROR(IF(E13&gt;F13,"Monthly Cash Flow",IF(F13&gt;E13,"Long-Term Equity","Balanced")),"")</f>
        <v/>
      </c>
      <c r="I13">
        <f>IFERROR(IF(D13&lt;0,"Negative cash flow - avoid",IF(G13&gt;=70,"Top-tier deal",IF(G13&gt;=50,"Solid contender","Weak relative to peers"))),"")</f>
        <v/>
      </c>
    </row>
    <row r="14">
      <c r="E14">
        <f>IFERROR(ROUND(C14*10,1),"")</f>
        <v/>
      </c>
      <c r="F14">
        <f>IFERROR(ROUND(B14*10,1),"")</f>
        <v/>
      </c>
      <c r="G14">
        <f>IFERROR(ROUND((E14+F14)/2,1),"")</f>
        <v/>
      </c>
      <c r="H14">
        <f>IFERROR(IF(E14&gt;F14,"Monthly Cash Flow",IF(F14&gt;E14,"Long-Term Equity","Balanced")),"")</f>
        <v/>
      </c>
      <c r="I14">
        <f>IFERROR(IF(D14&lt;0,"Negative cash flow - avoid",IF(G14&gt;=70,"Top-tier deal",IF(G14&gt;=50,"Solid contender","Weak relative to peers"))),"")</f>
        <v/>
      </c>
    </row>
    <row r="15">
      <c r="E15">
        <f>IFERROR(ROUND(C15*10,1),"")</f>
        <v/>
      </c>
      <c r="F15">
        <f>IFERROR(ROUND(B15*10,1),"")</f>
        <v/>
      </c>
      <c r="G15">
        <f>IFERROR(ROUND((E15+F15)/2,1),"")</f>
        <v/>
      </c>
      <c r="H15">
        <f>IFERROR(IF(E15&gt;F15,"Monthly Cash Flow",IF(F15&gt;E15,"Long-Term Equity","Balanced")),"")</f>
        <v/>
      </c>
      <c r="I15">
        <f>IFERROR(IF(D15&lt;0,"Negative cash flow - avoid",IF(G15&gt;=70,"Top-tier deal",IF(G15&gt;=50,"Solid contender","Weak relative to peers"))),"")</f>
        <v/>
      </c>
    </row>
    <row r="16">
      <c r="E16">
        <f>IFERROR(ROUND(C16*10,1),"")</f>
        <v/>
      </c>
      <c r="F16">
        <f>IFERROR(ROUND(B16*10,1),"")</f>
        <v/>
      </c>
      <c r="G16">
        <f>IFERROR(ROUND((E16+F16)/2,1),"")</f>
        <v/>
      </c>
      <c r="H16">
        <f>IFERROR(IF(E16&gt;F16,"Monthly Cash Flow",IF(F16&gt;E16,"Long-Term Equity","Balanced")),"")</f>
        <v/>
      </c>
      <c r="I16">
        <f>IFERROR(IF(D16&lt;0,"Negative cash flow - avoid",IF(G16&gt;=70,"Top-tier deal",IF(G16&gt;=50,"Solid contender","Weak relative to peers"))),"")</f>
        <v/>
      </c>
    </row>
    <row r="17">
      <c r="E17">
        <f>IFERROR(ROUND(C17*10,1),"")</f>
        <v/>
      </c>
      <c r="F17">
        <f>IFERROR(ROUND(B17*10,1),"")</f>
        <v/>
      </c>
      <c r="G17">
        <f>IFERROR(ROUND((E17+F17)/2,1),"")</f>
        <v/>
      </c>
      <c r="H17">
        <f>IFERROR(IF(E17&gt;F17,"Monthly Cash Flow",IF(F17&gt;E17,"Long-Term Equity","Balanced")),"")</f>
        <v/>
      </c>
      <c r="I17">
        <f>IFERROR(IF(D17&lt;0,"Negative cash flow - avoid",IF(G17&gt;=70,"Top-tier deal",IF(G17&gt;=50,"Solid contender","Weak relative to peers"))),"")</f>
        <v/>
      </c>
    </row>
    <row r="18">
      <c r="E18">
        <f>IFERROR(ROUND(C18*10,1),"")</f>
        <v/>
      </c>
      <c r="F18">
        <f>IFERROR(ROUND(B18*10,1),"")</f>
        <v/>
      </c>
      <c r="G18">
        <f>IFERROR(ROUND((E18+F18)/2,1),"")</f>
        <v/>
      </c>
      <c r="H18">
        <f>IFERROR(IF(E18&gt;F18,"Monthly Cash Flow",IF(F18&gt;E18,"Long-Term Equity","Balanced")),"")</f>
        <v/>
      </c>
      <c r="I18">
        <f>IFERROR(IF(D18&lt;0,"Negative cash flow - avoid",IF(G18&gt;=70,"Top-tier deal",IF(G18&gt;=50,"Solid contender","Weak relative to peers"))),"")</f>
        <v/>
      </c>
    </row>
    <row r="19">
      <c r="E19">
        <f>IFERROR(ROUND(C19*10,1),"")</f>
        <v/>
      </c>
      <c r="F19">
        <f>IFERROR(ROUND(B19*10,1),"")</f>
        <v/>
      </c>
      <c r="G19">
        <f>IFERROR(ROUND((E19+F19)/2,1),"")</f>
        <v/>
      </c>
      <c r="H19">
        <f>IFERROR(IF(E19&gt;F19,"Monthly Cash Flow",IF(F19&gt;E19,"Long-Term Equity","Balanced")),"")</f>
        <v/>
      </c>
      <c r="I19">
        <f>IFERROR(IF(D19&lt;0,"Negative cash flow - avoid",IF(G19&gt;=70,"Top-tier deal",IF(G19&gt;=50,"Solid contender","Weak relative to peers"))),"")</f>
        <v/>
      </c>
    </row>
    <row r="20">
      <c r="E20">
        <f>IFERROR(ROUND(C20*10,1),"")</f>
        <v/>
      </c>
      <c r="F20">
        <f>IFERROR(ROUND(B20*10,1),"")</f>
        <v/>
      </c>
      <c r="G20">
        <f>IFERROR(ROUND((E20+F20)/2,1),"")</f>
        <v/>
      </c>
      <c r="H20">
        <f>IFERROR(IF(E20&gt;F20,"Monthly Cash Flow",IF(F20&gt;E20,"Long-Term Equity","Balanced")),"")</f>
        <v/>
      </c>
      <c r="I20">
        <f>IFERROR(IF(D20&lt;0,"Negative cash flow - avoid",IF(G20&gt;=70,"Top-tier deal",IF(G20&gt;=50,"Solid contender","Weak relative to peers"))),"")</f>
        <v/>
      </c>
    </row>
    <row r="21">
      <c r="E21">
        <f>IFERROR(ROUND(C21*10,1),"")</f>
        <v/>
      </c>
      <c r="F21">
        <f>IFERROR(ROUND(B21*10,1),"")</f>
        <v/>
      </c>
      <c r="G21">
        <f>IFERROR(ROUND((E21+F21)/2,1),"")</f>
        <v/>
      </c>
      <c r="H21">
        <f>IFERROR(IF(E21&gt;F21,"Monthly Cash Flow",IF(F21&gt;E21,"Long-Term Equity","Balanced")),"")</f>
        <v/>
      </c>
      <c r="I21">
        <f>IFERROR(IF(D21&lt;0,"Negative cash flow - avoid",IF(G21&gt;=70,"Top-tier deal",IF(G21&gt;=50,"Solid contender","Weak relative to peers"))),"")</f>
        <v/>
      </c>
    </row>
    <row r="22">
      <c r="E22">
        <f>IFERROR(ROUND(C22*10,1),"")</f>
        <v/>
      </c>
      <c r="F22">
        <f>IFERROR(ROUND(B22*10,1),"")</f>
        <v/>
      </c>
      <c r="G22">
        <f>IFERROR(ROUND((E22+F22)/2,1),"")</f>
        <v/>
      </c>
      <c r="H22">
        <f>IFERROR(IF(E22&gt;F22,"Monthly Cash Flow",IF(F22&gt;E22,"Long-Term Equity","Balanced")),"")</f>
        <v/>
      </c>
      <c r="I22">
        <f>IFERROR(IF(D22&lt;0,"Negative cash flow - avoid",IF(G22&gt;=70,"Top-tier deal",IF(G22&gt;=50,"Solid contender","Weak relative to peers"))),"")</f>
        <v/>
      </c>
    </row>
    <row r="23">
      <c r="E23">
        <f>IFERROR(ROUND(C23*10,1),"")</f>
        <v/>
      </c>
      <c r="F23">
        <f>IFERROR(ROUND(B23*10,1),"")</f>
        <v/>
      </c>
      <c r="G23">
        <f>IFERROR(ROUND((E23+F23)/2,1),"")</f>
        <v/>
      </c>
      <c r="H23">
        <f>IFERROR(IF(E23&gt;F23,"Monthly Cash Flow",IF(F23&gt;E23,"Long-Term Equity","Balanced")),"")</f>
        <v/>
      </c>
      <c r="I23">
        <f>IFERROR(IF(D23&lt;0,"Negative cash flow - avoid",IF(G23&gt;=70,"Top-tier deal",IF(G23&gt;=50,"Solid contender","Weak relative to peers"))),"")</f>
        <v/>
      </c>
    </row>
    <row r="24">
      <c r="E24">
        <f>IFERROR(ROUND(C24*10,1),"")</f>
        <v/>
      </c>
      <c r="F24">
        <f>IFERROR(ROUND(B24*10,1),"")</f>
        <v/>
      </c>
      <c r="G24">
        <f>IFERROR(ROUND((E24+F24)/2,1),"")</f>
        <v/>
      </c>
      <c r="H24">
        <f>IFERROR(IF(E24&gt;F24,"Monthly Cash Flow",IF(F24&gt;E24,"Long-Term Equity","Balanced")),"")</f>
        <v/>
      </c>
      <c r="I24">
        <f>IFERROR(IF(D24&lt;0,"Negative cash flow - avoid",IF(G24&gt;=70,"Top-tier deal",IF(G24&gt;=50,"Solid contender","Weak relative to peers"))),"")</f>
        <v/>
      </c>
    </row>
    <row r="25">
      <c r="E25">
        <f>IFERROR(ROUND(C25*10,1),"")</f>
        <v/>
      </c>
      <c r="F25">
        <f>IFERROR(ROUND(B25*10,1),"")</f>
        <v/>
      </c>
      <c r="G25">
        <f>IFERROR(ROUND((E25+F25)/2,1),"")</f>
        <v/>
      </c>
      <c r="H25">
        <f>IFERROR(IF(E25&gt;F25,"Monthly Cash Flow",IF(F25&gt;E25,"Long-Term Equity","Balanced")),"")</f>
        <v/>
      </c>
      <c r="I25">
        <f>IFERROR(IF(D25&lt;0,"Negative cash flow - avoid",IF(G25&gt;=70,"Top-tier deal",IF(G25&gt;=50,"Solid contender","Weak relative to peers"))),"")</f>
        <v/>
      </c>
    </row>
  </sheetData>
  <mergeCells count="1">
    <mergeCell ref="A1:I3"/>
  </mergeCells>
  <conditionalFormatting sqref="G6:G25">
    <cfRule type="cellIs" priority="1" operator="greaterThan" dxfId="0">
      <formula>70</formula>
    </cfRule>
    <cfRule type="cellIs" priority="2" operator="lessThan" dxfId="2">
      <formula>50</formula>
    </cfRule>
  </conditionalFormatting>
  <conditionalFormatting sqref="D6:D25">
    <cfRule type="cellIs" priority="3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AI INSIGHT SUMMARY:
Deal B has the highest cap rate at 7.2% but Deal A delivers a 40% stronger cash-on-cash return (11.4% vs 8.1%) because of its seller-financing terms and lower down payment. If your primary goal is monthly cash flow, choose Deal A; if you are optimizing for long-term equity and appreciation, Deal B is the stronger hold. Deal D fails to clear your 6% minimum cash-on-cash threshold and is flagged WALK AWAY. Across all logged properties, Deal A ranks #1 on the blended score and is the recommended buy.</t>
        </is>
      </c>
    </row>
    <row r="2"/>
    <row r="3"/>
    <row r="4"/>
    <row r="5">
      <c r="A5" s="2" t="inlineStr">
        <is>
          <t>Setting</t>
        </is>
      </c>
      <c r="B5" s="2" t="inlineStr">
        <is>
          <t>Your Value</t>
        </is>
      </c>
      <c r="C5" s="2" t="inlineStr">
        <is>
          <t>Status</t>
        </is>
      </c>
    </row>
    <row r="6">
      <c r="A6" t="inlineStr">
        <is>
          <t>Primary Goal (Cash Flow / Equity)</t>
        </is>
      </c>
      <c r="B6" t="inlineStr">
        <is>
          <t>Cash Flow</t>
        </is>
      </c>
      <c r="C6">
        <f>IFERROR(IF(B6="","Not set - using default","Active"),"")</f>
        <v/>
      </c>
    </row>
    <row r="7">
      <c r="A7" t="inlineStr">
        <is>
          <t>Minimum Cash on Cash %</t>
        </is>
      </c>
      <c r="B7" t="n">
        <v>6</v>
      </c>
      <c r="C7">
        <f>IFERROR(IF(B7="","Not set - using default","Active"),"")</f>
        <v/>
      </c>
    </row>
    <row r="8">
      <c r="A8" t="inlineStr">
        <is>
          <t>Minimum Cap Rate %</t>
        </is>
      </c>
      <c r="B8" t="n">
        <v>5</v>
      </c>
      <c r="C8">
        <f>IFERROR(IF(B8="","Not set - using default","Active"),"")</f>
        <v/>
      </c>
    </row>
    <row r="9">
      <c r="A9" t="inlineStr">
        <is>
          <t>Max Purchase Price</t>
        </is>
      </c>
      <c r="B9" t="n">
        <v>500000</v>
      </c>
      <c r="C9">
        <f>IFERROR(IF(B9="","Not set - using default","Active"),"")</f>
        <v/>
      </c>
    </row>
    <row r="10">
      <c r="A10" t="inlineStr">
        <is>
          <t>Target Monthly Cash Flow</t>
        </is>
      </c>
      <c r="B10" t="n">
        <v>250</v>
      </c>
      <c r="C10">
        <f>IFERROR(IF(B10="","Not set - using default","Active"),"")</f>
        <v/>
      </c>
    </row>
    <row r="11">
      <c r="C11">
        <f>IFERROR(IF(B11="","Not set - using default","Active"),"")</f>
        <v/>
      </c>
    </row>
    <row r="12">
      <c r="C12">
        <f>IFERROR(IF(B12="","Not set - using default","Active"),"")</f>
        <v/>
      </c>
    </row>
    <row r="13">
      <c r="C13">
        <f>IFERROR(IF(B13="","Not set - using default","Active"),"")</f>
        <v/>
      </c>
    </row>
    <row r="14">
      <c r="C14">
        <f>IFERROR(IF(B14="","Not set - using default","Active"),"")</f>
        <v/>
      </c>
    </row>
    <row r="15">
      <c r="C15">
        <f>IFERROR(IF(B15="","Not set - using default","Active"),"")</f>
        <v/>
      </c>
    </row>
    <row r="16">
      <c r="C16">
        <f>IFERROR(IF(B16="","Not set - using default","Active"),"")</f>
        <v/>
      </c>
    </row>
    <row r="17">
      <c r="C17">
        <f>IFERROR(IF(B17="","Not set - using default","Active"),"")</f>
        <v/>
      </c>
    </row>
    <row r="18">
      <c r="C18">
        <f>IFERROR(IF(B18="","Not set - using default","Active"),"")</f>
        <v/>
      </c>
    </row>
    <row r="19">
      <c r="C19">
        <f>IFERROR(IF(B19="","Not set - using default","Active"),"")</f>
        <v/>
      </c>
    </row>
    <row r="20">
      <c r="C20">
        <f>IFERROR(IF(B20="","Not set - using default","Active"),"")</f>
        <v/>
      </c>
    </row>
    <row r="21">
      <c r="C21">
        <f>IFERROR(IF(B21="","Not set - using default","Active"),"")</f>
        <v/>
      </c>
    </row>
    <row r="22">
      <c r="C22">
        <f>IFERROR(IF(B22="","Not set - using default","Active"),"")</f>
        <v/>
      </c>
    </row>
    <row r="23">
      <c r="C23">
        <f>IFERROR(IF(B23="","Not set - using default","Active"),"")</f>
        <v/>
      </c>
    </row>
    <row r="24">
      <c r="C24">
        <f>IFERROR(IF(B24="","Not set - using default","Active"),"")</f>
        <v/>
      </c>
    </row>
    <row r="25">
      <c r="C25">
        <f>IFERROR(IF(B25="","Not set - using default","Active"),"")</f>
        <v/>
      </c>
    </row>
  </sheetData>
  <mergeCells count="1">
    <mergeCell ref="A1:C3"/>
  </mergeCells>
  <conditionalFormatting sqref="B6:B25">
    <cfRule type="cellIs" priority="1" operator="equal" dxfId="2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2026-06-29T02:44:05Z</dcterms:created>
  <dcterms:modified xsi:type="dcterms:W3CDTF">2026-06-29T03:44:05Z</dcterms:modified>
</cp:coreProperties>
</file>