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ROI" sheetId="1" state="visible" r:id="rId1"/>
    <sheet name="Reallocation Plan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3" customWidth="1" min="4" max="4"/>
    <col width="30" customWidth="1" min="5" max="5"/>
    <col width="24" customWidth="1" min="6" max="6"/>
    <col width="29" customWidth="1" min="7" max="7"/>
    <col width="28" customWidth="1" min="8" max="8"/>
    <col width="24" customWidth="1" min="9" max="9"/>
    <col width="16" customWidth="1" min="10" max="10"/>
    <col width="19" customWidth="1" min="11" max="11"/>
    <col width="16" customWidth="1" min="12" max="12"/>
  </cols>
  <sheetData>
    <row r="1">
      <c r="A1" s="1" t="inlineStr">
        <is>
          <t>AI INSIGHT SUMMARY:
Yard Signs cost only $9 per acquired customer at $540 lifetime value -- a 60x return and your hidden best channel; triple the order immediately. Google LSA costs $84 per customer averaging $610 LTV for a 7.3x ROI -- scale this aggressively. Angi costs $61 per customer but those convert to one-time $190 jobs at 3.1x ROI and declining; cap spend now. Door Hangers are flagged as WASTED SPEND at 0.7x ROI -- you are losing money on every dollar; kill this channel and reallocate its $400 budget toward Yard Signs and Google LSA. Net, shifting $400 from losing channels to your top two would add an estimated $2,900 in returned revenue next month.</t>
        </is>
      </c>
    </row>
    <row r="2"/>
    <row r="3"/>
    <row r="4"/>
    <row r="5">
      <c r="A5" s="2" t="inlineStr">
        <is>
          <t>Channel</t>
        </is>
      </c>
      <c r="B5" s="2" t="inlineStr">
        <is>
          <t>Monthly Spend</t>
        </is>
      </c>
      <c r="C5" s="2" t="inlineStr">
        <is>
          <t>Customers Acquired</t>
        </is>
      </c>
      <c r="D5" s="2" t="inlineStr">
        <is>
          <t>Avg First Job Revenue</t>
        </is>
      </c>
      <c r="E5" s="2" t="inlineStr">
        <is>
          <t>Avg Repeat Jobs Per Customer</t>
        </is>
      </c>
      <c r="F5" s="2" t="inlineStr">
        <is>
          <t>Avg Repeat Job Revenue</t>
        </is>
      </c>
      <c r="G5" s="2" t="inlineStr">
        <is>
          <t>Lifetime Value Per Customer</t>
        </is>
      </c>
      <c r="H5" s="2" t="inlineStr">
        <is>
          <t>Cost Per Acquired Customer</t>
        </is>
      </c>
      <c r="I5" s="2" t="inlineStr">
        <is>
          <t>Total Returned Revenue</t>
        </is>
      </c>
      <c r="J5" s="2" t="inlineStr">
        <is>
          <t>Channel ROI</t>
        </is>
      </c>
      <c r="K5" s="2" t="inlineStr">
        <is>
          <t>Wasted Spend Flag</t>
        </is>
      </c>
      <c r="L5" s="2" t="inlineStr">
        <is>
          <t>Verdict</t>
        </is>
      </c>
    </row>
    <row r="6">
      <c r="A6" t="inlineStr">
        <is>
          <t>Google LSA</t>
        </is>
      </c>
      <c r="B6" t="n">
        <v>1680</v>
      </c>
      <c r="C6" t="n">
        <v>20</v>
      </c>
      <c r="D6" t="n">
        <v>350</v>
      </c>
      <c r="E6" t="n">
        <v>1</v>
      </c>
      <c r="F6" t="n">
        <v>260</v>
      </c>
      <c r="G6">
        <f>IFERROR(D6+(E6*F6),"")</f>
        <v/>
      </c>
      <c r="H6">
        <f>IFERROR(IF(C6=0,B6,B6/C6),"")</f>
        <v/>
      </c>
      <c r="I6">
        <f>IFERROR(C6*G6,"")</f>
        <v/>
      </c>
      <c r="J6">
        <f>IFERROR(IF(B6=0,0,I6/B6),"")</f>
        <v/>
      </c>
      <c r="K6">
        <f>IFERROR(IF(J6&lt;1,"WASTED SPEND",IF(J6&lt;2,"WATCH","OK")),"")</f>
        <v/>
      </c>
      <c r="L6">
        <f>IFERROR(IF(J6&lt;1,"KILL - losing money, reallocate budget",IF(J6&lt;3,"KEEP/CAP - marginal, hold spend flat",IF(J6&lt;6,"SCALE - strong return, increase spend","SCALE HARD - hidden best channel, triple order"))),"")</f>
        <v/>
      </c>
    </row>
    <row r="7">
      <c r="A7" t="inlineStr">
        <is>
          <t>Yard Signs</t>
        </is>
      </c>
      <c r="B7" t="n">
        <v>90</v>
      </c>
      <c r="C7" t="n">
        <v>10</v>
      </c>
      <c r="D7" t="n">
        <v>300</v>
      </c>
      <c r="E7" t="n">
        <v>1</v>
      </c>
      <c r="F7" t="n">
        <v>240</v>
      </c>
      <c r="G7">
        <f>IFERROR(D7+(E7*F7),"")</f>
        <v/>
      </c>
      <c r="H7">
        <f>IFERROR(IF(C7=0,B7,B7/C7),"")</f>
        <v/>
      </c>
      <c r="I7">
        <f>IFERROR(C7*G7,"")</f>
        <v/>
      </c>
      <c r="J7">
        <f>IFERROR(IF(B7=0,0,I7/B7),"")</f>
        <v/>
      </c>
      <c r="K7">
        <f>IFERROR(IF(J7&lt;1,"WASTED SPEND",IF(J7&lt;2,"WATCH","OK")),"")</f>
        <v/>
      </c>
      <c r="L7">
        <f>IFERROR(IF(J7&lt;1,"KILL - losing money, reallocate budget",IF(J7&lt;3,"KEEP/CAP - marginal, hold spend flat",IF(J7&lt;6,"SCALE - strong return, increase spend","SCALE HARD - hidden best channel, triple order"))),"")</f>
        <v/>
      </c>
    </row>
    <row r="8">
      <c r="A8" t="inlineStr">
        <is>
          <t>Angi</t>
        </is>
      </c>
      <c r="B8" t="n">
        <v>610</v>
      </c>
      <c r="C8" t="n">
        <v>10</v>
      </c>
      <c r="D8" t="n">
        <v>190</v>
      </c>
      <c r="E8" t="n">
        <v>0</v>
      </c>
      <c r="F8" t="n">
        <v>0</v>
      </c>
      <c r="G8">
        <f>IFERROR(D8+(E8*F8),"")</f>
        <v/>
      </c>
      <c r="H8">
        <f>IFERROR(IF(C8=0,B8,B8/C8),"")</f>
        <v/>
      </c>
      <c r="I8">
        <f>IFERROR(C8*G8,"")</f>
        <v/>
      </c>
      <c r="J8">
        <f>IFERROR(IF(B8=0,0,I8/B8),"")</f>
        <v/>
      </c>
      <c r="K8">
        <f>IFERROR(IF(J8&lt;1,"WASTED SPEND",IF(J8&lt;2,"WATCH","OK")),"")</f>
        <v/>
      </c>
      <c r="L8">
        <f>IFERROR(IF(J8&lt;1,"KILL - losing money, reallocate budget",IF(J8&lt;3,"KEEP/CAP - marginal, hold spend flat",IF(J8&lt;6,"SCALE - strong return, increase spend","SCALE HARD - hidden best channel, triple order"))),"")</f>
        <v/>
      </c>
    </row>
    <row r="9">
      <c r="A9" t="inlineStr">
        <is>
          <t>Facebook</t>
        </is>
      </c>
      <c r="B9" t="n">
        <v>800</v>
      </c>
      <c r="C9" t="n">
        <v>8</v>
      </c>
      <c r="D9" t="n">
        <v>280</v>
      </c>
      <c r="E9" t="n">
        <v>0.5</v>
      </c>
      <c r="F9" t="n">
        <v>200</v>
      </c>
      <c r="G9">
        <f>IFERROR(D9+(E9*F9),"")</f>
        <v/>
      </c>
      <c r="H9">
        <f>IFERROR(IF(C9=0,B9,B9/C9),"")</f>
        <v/>
      </c>
      <c r="I9">
        <f>IFERROR(C9*G9,"")</f>
        <v/>
      </c>
      <c r="J9">
        <f>IFERROR(IF(B9=0,0,I9/B9),"")</f>
        <v/>
      </c>
      <c r="K9">
        <f>IFERROR(IF(J9&lt;1,"WASTED SPEND",IF(J9&lt;2,"WATCH","OK")),"")</f>
        <v/>
      </c>
      <c r="L9">
        <f>IFERROR(IF(J9&lt;1,"KILL - losing money, reallocate budget",IF(J9&lt;3,"KEEP/CAP - marginal, hold spend flat",IF(J9&lt;6,"SCALE - strong return, increase spend","SCALE HARD - hidden best channel, triple order"))),"")</f>
        <v/>
      </c>
    </row>
    <row r="10">
      <c r="A10" t="inlineStr">
        <is>
          <t>Truck Wraps</t>
        </is>
      </c>
      <c r="B10" t="n">
        <v>250</v>
      </c>
      <c r="C10" t="n">
        <v>5</v>
      </c>
      <c r="D10" t="n">
        <v>300</v>
      </c>
      <c r="E10" t="n">
        <v>1</v>
      </c>
      <c r="F10" t="n">
        <v>250</v>
      </c>
      <c r="G10">
        <f>IFERROR(D10+(E10*F10),"")</f>
        <v/>
      </c>
      <c r="H10">
        <f>IFERROR(IF(C10=0,B10,B10/C10),"")</f>
        <v/>
      </c>
      <c r="I10">
        <f>IFERROR(C10*G10,"")</f>
        <v/>
      </c>
      <c r="J10">
        <f>IFERROR(IF(B10=0,0,I10/B10),"")</f>
        <v/>
      </c>
      <c r="K10">
        <f>IFERROR(IF(J10&lt;1,"WASTED SPEND",IF(J10&lt;2,"WATCH","OK")),"")</f>
        <v/>
      </c>
      <c r="L10">
        <f>IFERROR(IF(J10&lt;1,"KILL - losing money, reallocate budget",IF(J10&lt;3,"KEEP/CAP - marginal, hold spend flat",IF(J10&lt;6,"SCALE - strong return, increase spend","SCALE HARD - hidden best channel, triple order"))),"")</f>
        <v/>
      </c>
    </row>
    <row r="11">
      <c r="A11" t="inlineStr">
        <is>
          <t>Door Hangers</t>
        </is>
      </c>
      <c r="B11" t="n">
        <v>400</v>
      </c>
      <c r="C11" t="n">
        <v>3</v>
      </c>
      <c r="D11" t="n">
        <v>180</v>
      </c>
      <c r="E11" t="n">
        <v>0.2</v>
      </c>
      <c r="F11" t="n">
        <v>150</v>
      </c>
      <c r="G11">
        <f>IFERROR(D11+(E11*F11),"")</f>
        <v/>
      </c>
      <c r="H11">
        <f>IFERROR(IF(C11=0,B11,B11/C11),"")</f>
        <v/>
      </c>
      <c r="I11">
        <f>IFERROR(C11*G11,"")</f>
        <v/>
      </c>
      <c r="J11">
        <f>IFERROR(IF(B11=0,0,I11/B11),"")</f>
        <v/>
      </c>
      <c r="K11">
        <f>IFERROR(IF(J11&lt;1,"WASTED SPEND",IF(J11&lt;2,"WATCH","OK")),"")</f>
        <v/>
      </c>
      <c r="L11">
        <f>IFERROR(IF(J11&lt;1,"KILL - losing money, reallocate budget",IF(J11&lt;3,"KEEP/CAP - marginal, hold spend flat",IF(J11&lt;6,"SCALE - strong return, increase spend","SCALE HARD - hidden best channel, triple order"))),"")</f>
        <v/>
      </c>
    </row>
    <row r="12">
      <c r="G12">
        <f>IFERROR(D12+(E12*F12),"")</f>
        <v/>
      </c>
      <c r="H12">
        <f>IFERROR(IF(C12=0,B12,B12/C12),"")</f>
        <v/>
      </c>
      <c r="I12">
        <f>IFERROR(C12*G12,"")</f>
        <v/>
      </c>
      <c r="J12">
        <f>IFERROR(IF(B12=0,0,I12/B12),"")</f>
        <v/>
      </c>
      <c r="K12">
        <f>IFERROR(IF(J12&lt;1,"WASTED SPEND",IF(J12&lt;2,"WATCH","OK")),"")</f>
        <v/>
      </c>
      <c r="L12">
        <f>IFERROR(IF(J12&lt;1,"KILL - losing money, reallocate budget",IF(J12&lt;3,"KEEP/CAP - marginal, hold spend flat",IF(J12&lt;6,"SCALE - strong return, increase spend","SCALE HARD - hidden best channel, triple order"))),"")</f>
        <v/>
      </c>
    </row>
    <row r="13">
      <c r="G13">
        <f>IFERROR(D13+(E13*F13),"")</f>
        <v/>
      </c>
      <c r="H13">
        <f>IFERROR(IF(C13=0,B13,B13/C13),"")</f>
        <v/>
      </c>
      <c r="I13">
        <f>IFERROR(C13*G13,"")</f>
        <v/>
      </c>
      <c r="J13">
        <f>IFERROR(IF(B13=0,0,I13/B13),"")</f>
        <v/>
      </c>
      <c r="K13">
        <f>IFERROR(IF(J13&lt;1,"WASTED SPEND",IF(J13&lt;2,"WATCH","OK")),"")</f>
        <v/>
      </c>
      <c r="L13">
        <f>IFERROR(IF(J13&lt;1,"KILL - losing money, reallocate budget",IF(J13&lt;3,"KEEP/CAP - marginal, hold spend flat",IF(J13&lt;6,"SCALE - strong return, increase spend","SCALE HARD - hidden best channel, triple order"))),"")</f>
        <v/>
      </c>
    </row>
    <row r="14">
      <c r="G14">
        <f>IFERROR(D14+(E14*F14),"")</f>
        <v/>
      </c>
      <c r="H14">
        <f>IFERROR(IF(C14=0,B14,B14/C14),"")</f>
        <v/>
      </c>
      <c r="I14">
        <f>IFERROR(C14*G14,"")</f>
        <v/>
      </c>
      <c r="J14">
        <f>IFERROR(IF(B14=0,0,I14/B14),"")</f>
        <v/>
      </c>
      <c r="K14">
        <f>IFERROR(IF(J14&lt;1,"WASTED SPEND",IF(J14&lt;2,"WATCH","OK")),"")</f>
        <v/>
      </c>
      <c r="L14">
        <f>IFERROR(IF(J14&lt;1,"KILL - losing money, reallocate budget",IF(J14&lt;3,"KEEP/CAP - marginal, hold spend flat",IF(J14&lt;6,"SCALE - strong return, increase spend","SCALE HARD - hidden best channel, triple order"))),"")</f>
        <v/>
      </c>
    </row>
    <row r="15">
      <c r="G15">
        <f>IFERROR(D15+(E15*F15),"")</f>
        <v/>
      </c>
      <c r="H15">
        <f>IFERROR(IF(C15=0,B15,B15/C15),"")</f>
        <v/>
      </c>
      <c r="I15">
        <f>IFERROR(C15*G15,"")</f>
        <v/>
      </c>
      <c r="J15">
        <f>IFERROR(IF(B15=0,0,I15/B15),"")</f>
        <v/>
      </c>
      <c r="K15">
        <f>IFERROR(IF(J15&lt;1,"WASTED SPEND",IF(J15&lt;2,"WATCH","OK")),"")</f>
        <v/>
      </c>
      <c r="L15">
        <f>IFERROR(IF(J15&lt;1,"KILL - losing money, reallocate budget",IF(J15&lt;3,"KEEP/CAP - marginal, hold spend flat",IF(J15&lt;6,"SCALE - strong return, increase spend","SCALE HARD - hidden best channel, triple order"))),"")</f>
        <v/>
      </c>
    </row>
    <row r="16">
      <c r="G16">
        <f>IFERROR(D16+(E16*F16),"")</f>
        <v/>
      </c>
      <c r="H16">
        <f>IFERROR(IF(C16=0,B16,B16/C16),"")</f>
        <v/>
      </c>
      <c r="I16">
        <f>IFERROR(C16*G16,"")</f>
        <v/>
      </c>
      <c r="J16">
        <f>IFERROR(IF(B16=0,0,I16/B16),"")</f>
        <v/>
      </c>
      <c r="K16">
        <f>IFERROR(IF(J16&lt;1,"WASTED SPEND",IF(J16&lt;2,"WATCH","OK")),"")</f>
        <v/>
      </c>
      <c r="L16">
        <f>IFERROR(IF(J16&lt;1,"KILL - losing money, reallocate budget",IF(J16&lt;3,"KEEP/CAP - marginal, hold spend flat",IF(J16&lt;6,"SCALE - strong return, increase spend","SCALE HARD - hidden best channel, triple order"))),"")</f>
        <v/>
      </c>
    </row>
    <row r="17">
      <c r="G17">
        <f>IFERROR(D17+(E17*F17),"")</f>
        <v/>
      </c>
      <c r="H17">
        <f>IFERROR(IF(C17=0,B17,B17/C17),"")</f>
        <v/>
      </c>
      <c r="I17">
        <f>IFERROR(C17*G17,"")</f>
        <v/>
      </c>
      <c r="J17">
        <f>IFERROR(IF(B17=0,0,I17/B17),"")</f>
        <v/>
      </c>
      <c r="K17">
        <f>IFERROR(IF(J17&lt;1,"WASTED SPEND",IF(J17&lt;2,"WATCH","OK")),"")</f>
        <v/>
      </c>
      <c r="L17">
        <f>IFERROR(IF(J17&lt;1,"KILL - losing money, reallocate budget",IF(J17&lt;3,"KEEP/CAP - marginal, hold spend flat",IF(J17&lt;6,"SCALE - strong return, increase spend","SCALE HARD - hidden best channel, triple order"))),"")</f>
        <v/>
      </c>
    </row>
    <row r="18">
      <c r="G18">
        <f>IFERROR(D18+(E18*F18),"")</f>
        <v/>
      </c>
      <c r="H18">
        <f>IFERROR(IF(C18=0,B18,B18/C18),"")</f>
        <v/>
      </c>
      <c r="I18">
        <f>IFERROR(C18*G18,"")</f>
        <v/>
      </c>
      <c r="J18">
        <f>IFERROR(IF(B18=0,0,I18/B18),"")</f>
        <v/>
      </c>
      <c r="K18">
        <f>IFERROR(IF(J18&lt;1,"WASTED SPEND",IF(J18&lt;2,"WATCH","OK")),"")</f>
        <v/>
      </c>
      <c r="L18">
        <f>IFERROR(IF(J18&lt;1,"KILL - losing money, reallocate budget",IF(J18&lt;3,"KEEP/CAP - marginal, hold spend flat",IF(J18&lt;6,"SCALE - strong return, increase spend","SCALE HARD - hidden best channel, triple order"))),"")</f>
        <v/>
      </c>
    </row>
    <row r="19">
      <c r="G19">
        <f>IFERROR(D19+(E19*F19),"")</f>
        <v/>
      </c>
      <c r="H19">
        <f>IFERROR(IF(C19=0,B19,B19/C19),"")</f>
        <v/>
      </c>
      <c r="I19">
        <f>IFERROR(C19*G19,"")</f>
        <v/>
      </c>
      <c r="J19">
        <f>IFERROR(IF(B19=0,0,I19/B19),"")</f>
        <v/>
      </c>
      <c r="K19">
        <f>IFERROR(IF(J19&lt;1,"WASTED SPEND",IF(J19&lt;2,"WATCH","OK")),"")</f>
        <v/>
      </c>
      <c r="L19">
        <f>IFERROR(IF(J19&lt;1,"KILL - losing money, reallocate budget",IF(J19&lt;3,"KEEP/CAP - marginal, hold spend flat",IF(J19&lt;6,"SCALE - strong return, increase spend","SCALE HARD - hidden best channel, triple order"))),"")</f>
        <v/>
      </c>
    </row>
    <row r="20">
      <c r="G20">
        <f>IFERROR(D20+(E20*F20),"")</f>
        <v/>
      </c>
      <c r="H20">
        <f>IFERROR(IF(C20=0,B20,B20/C20),"")</f>
        <v/>
      </c>
      <c r="I20">
        <f>IFERROR(C20*G20,"")</f>
        <v/>
      </c>
      <c r="J20">
        <f>IFERROR(IF(B20=0,0,I20/B20),"")</f>
        <v/>
      </c>
      <c r="K20">
        <f>IFERROR(IF(J20&lt;1,"WASTED SPEND",IF(J20&lt;2,"WATCH","OK")),"")</f>
        <v/>
      </c>
      <c r="L20">
        <f>IFERROR(IF(J20&lt;1,"KILL - losing money, reallocate budget",IF(J20&lt;3,"KEEP/CAP - marginal, hold spend flat",IF(J20&lt;6,"SCALE - strong return, increase spend","SCALE HARD - hidden best channel, triple order"))),"")</f>
        <v/>
      </c>
    </row>
    <row r="21">
      <c r="G21">
        <f>IFERROR(D21+(E21*F21),"")</f>
        <v/>
      </c>
      <c r="H21">
        <f>IFERROR(IF(C21=0,B21,B21/C21),"")</f>
        <v/>
      </c>
      <c r="I21">
        <f>IFERROR(C21*G21,"")</f>
        <v/>
      </c>
      <c r="J21">
        <f>IFERROR(IF(B21=0,0,I21/B21),"")</f>
        <v/>
      </c>
      <c r="K21">
        <f>IFERROR(IF(J21&lt;1,"WASTED SPEND",IF(J21&lt;2,"WATCH","OK")),"")</f>
        <v/>
      </c>
      <c r="L21">
        <f>IFERROR(IF(J21&lt;1,"KILL - losing money, reallocate budget",IF(J21&lt;3,"KEEP/CAP - marginal, hold spend flat",IF(J21&lt;6,"SCALE - strong return, increase spend","SCALE HARD - hidden best channel, triple order"))),"")</f>
        <v/>
      </c>
    </row>
    <row r="22">
      <c r="G22">
        <f>IFERROR(D22+(E22*F22),"")</f>
        <v/>
      </c>
      <c r="H22">
        <f>IFERROR(IF(C22=0,B22,B22/C22),"")</f>
        <v/>
      </c>
      <c r="I22">
        <f>IFERROR(C22*G22,"")</f>
        <v/>
      </c>
      <c r="J22">
        <f>IFERROR(IF(B22=0,0,I22/B22),"")</f>
        <v/>
      </c>
      <c r="K22">
        <f>IFERROR(IF(J22&lt;1,"WASTED SPEND",IF(J22&lt;2,"WATCH","OK")),"")</f>
        <v/>
      </c>
      <c r="L22">
        <f>IFERROR(IF(J22&lt;1,"KILL - losing money, reallocate budget",IF(J22&lt;3,"KEEP/CAP - marginal, hold spend flat",IF(J22&lt;6,"SCALE - strong return, increase spend","SCALE HARD - hidden best channel, triple order"))),"")</f>
        <v/>
      </c>
    </row>
    <row r="23">
      <c r="G23">
        <f>IFERROR(D23+(E23*F23),"")</f>
        <v/>
      </c>
      <c r="H23">
        <f>IFERROR(IF(C23=0,B23,B23/C23),"")</f>
        <v/>
      </c>
      <c r="I23">
        <f>IFERROR(C23*G23,"")</f>
        <v/>
      </c>
      <c r="J23">
        <f>IFERROR(IF(B23=0,0,I23/B23),"")</f>
        <v/>
      </c>
      <c r="K23">
        <f>IFERROR(IF(J23&lt;1,"WASTED SPEND",IF(J23&lt;2,"WATCH","OK")),"")</f>
        <v/>
      </c>
      <c r="L23">
        <f>IFERROR(IF(J23&lt;1,"KILL - losing money, reallocate budget",IF(J23&lt;3,"KEEP/CAP - marginal, hold spend flat",IF(J23&lt;6,"SCALE - strong return, increase spend","SCALE HARD - hidden best channel, triple order"))),"")</f>
        <v/>
      </c>
    </row>
    <row r="24">
      <c r="G24">
        <f>IFERROR(D24+(E24*F24),"")</f>
        <v/>
      </c>
      <c r="H24">
        <f>IFERROR(IF(C24=0,B24,B24/C24),"")</f>
        <v/>
      </c>
      <c r="I24">
        <f>IFERROR(C24*G24,"")</f>
        <v/>
      </c>
      <c r="J24">
        <f>IFERROR(IF(B24=0,0,I24/B24),"")</f>
        <v/>
      </c>
      <c r="K24">
        <f>IFERROR(IF(J24&lt;1,"WASTED SPEND",IF(J24&lt;2,"WATCH","OK")),"")</f>
        <v/>
      </c>
      <c r="L24">
        <f>IFERROR(IF(J24&lt;1,"KILL - losing money, reallocate budget",IF(J24&lt;3,"KEEP/CAP - marginal, hold spend flat",IF(J24&lt;6,"SCALE - strong return, increase spend","SCALE HARD - hidden best channel, triple order"))),"")</f>
        <v/>
      </c>
    </row>
    <row r="25">
      <c r="G25">
        <f>IFERROR(D25+(E25*F25),"")</f>
        <v/>
      </c>
      <c r="H25">
        <f>IFERROR(IF(C25=0,B25,B25/C25),"")</f>
        <v/>
      </c>
      <c r="I25">
        <f>IFERROR(C25*G25,"")</f>
        <v/>
      </c>
      <c r="J25">
        <f>IFERROR(IF(B25=0,0,I25/B25),"")</f>
        <v/>
      </c>
      <c r="K25">
        <f>IFERROR(IF(J25&lt;1,"WASTED SPEND",IF(J25&lt;2,"WATCH","OK")),"")</f>
        <v/>
      </c>
      <c r="L25">
        <f>IFERROR(IF(J25&lt;1,"KILL - losing money, reallocate budget",IF(J25&lt;3,"KEEP/CAP - marginal, hold spend flat",IF(J25&lt;6,"SCALE - strong return, increase spend","SCALE HARD - hidden best channel, triple order"))),"")</f>
        <v/>
      </c>
    </row>
    <row r="26">
      <c r="G26">
        <f>IFERROR(D26+(E26*F26),"")</f>
        <v/>
      </c>
      <c r="H26">
        <f>IFERROR(IF(C26=0,B26,B26/C26),"")</f>
        <v/>
      </c>
      <c r="I26">
        <f>IFERROR(C26*G26,"")</f>
        <v/>
      </c>
      <c r="J26">
        <f>IFERROR(IF(B26=0,0,I26/B26),"")</f>
        <v/>
      </c>
      <c r="K26">
        <f>IFERROR(IF(J26&lt;1,"WASTED SPEND",IF(J26&lt;2,"WATCH","OK")),"")</f>
        <v/>
      </c>
      <c r="L26">
        <f>IFERROR(IF(J26&lt;1,"KILL - losing money, reallocate budget",IF(J26&lt;3,"KEEP/CAP - marginal, hold spend flat",IF(J26&lt;6,"SCALE - strong return, increase spend","SCALE HARD - hidden best channel, triple order"))),"")</f>
        <v/>
      </c>
    </row>
  </sheetData>
  <mergeCells count="1">
    <mergeCell ref="A1:L3"/>
  </mergeCells>
  <conditionalFormatting sqref="J6:J26">
    <cfRule type="cellIs" priority="1" operator="lessThan" dxfId="0">
      <formula>1</formula>
    </cfRule>
    <cfRule type="cellIs" priority="2" operator="greaterThan" dxfId="1">
      <formula>5</formula>
    </cfRule>
  </conditionalFormatting>
  <conditionalFormatting sqref="H6:H26">
    <cfRule type="cellIs" priority="3" operator="greaterThan" dxfId="2">
      <formula>100</formula>
    </cfRule>
  </conditionalFormatting>
  <conditionalFormatting sqref="G6:G26">
    <cfRule type="cellIs" priority="4" operator="greaterThan" dxfId="1">
      <formula>500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20" customWidth="1" min="4" max="4"/>
    <col width="21" customWidth="1" min="5" max="5"/>
    <col width="16" customWidth="1" min="6" max="6"/>
    <col width="28" customWidth="1" min="7" max="7"/>
    <col width="27" customWidth="1" min="8" max="8"/>
  </cols>
  <sheetData>
    <row r="1">
      <c r="A1" s="1" t="inlineStr">
        <is>
          <t>AI INSIGHT SUMMARY:
Yard Signs cost only $9 per acquired customer at $540 lifetime value -- a 60x return and your hidden best channel; triple the order immediately. Google LSA costs $84 per customer averaging $610 LTV for a 7.3x ROI -- scale this aggressively. Angi costs $61 per customer but those convert to one-time $190 jobs at 3.1x ROI and declining; cap spend now. Door Hangers are flagged as WASTED SPEND at 0.7x ROI -- you are losing money on every dollar; kill this channel and reallocate its $400 budget toward Yard Signs and Google LSA. Net, shifting $400 from losing channels to your top two would add an estimated $2,900 in returned revenue next month.</t>
        </is>
      </c>
    </row>
    <row r="2"/>
    <row r="3"/>
    <row r="4"/>
    <row r="5">
      <c r="A5" s="2" t="inlineStr">
        <is>
          <t>Channel</t>
        </is>
      </c>
      <c r="B5" s="2" t="inlineStr">
        <is>
          <t>Current Monthly Spend</t>
        </is>
      </c>
      <c r="C5" s="2" t="inlineStr">
        <is>
          <t>Channel ROI</t>
        </is>
      </c>
      <c r="D5" s="2" t="inlineStr">
        <is>
          <t>Recommended Action</t>
        </is>
      </c>
      <c r="E5" s="2" t="inlineStr">
        <is>
          <t>Suggested New Spend</t>
        </is>
      </c>
      <c r="F5" s="2" t="inlineStr">
        <is>
          <t>Spend Change</t>
        </is>
      </c>
      <c r="G5" s="2" t="inlineStr">
        <is>
          <t>Projected Returned Revenue</t>
        </is>
      </c>
      <c r="H5" s="2" t="inlineStr">
        <is>
          <t>Projected Gain vs Current</t>
        </is>
      </c>
    </row>
    <row r="6">
      <c r="A6" t="inlineStr">
        <is>
          <t>Google LSA</t>
        </is>
      </c>
      <c r="B6" t="n">
        <v>1680</v>
      </c>
      <c r="C6" t="n">
        <v>7.3</v>
      </c>
      <c r="D6">
        <f>IFERROR(IF(C6&lt;1,"KILL",IF(C6&lt;3,"HOLD",IF(C6&lt;6,"INCREASE 50%","TRIPLE"))),"")</f>
        <v/>
      </c>
      <c r="E6">
        <f>IFERROR(IF(C6&lt;1,0,IF(C6&lt;3,B6,IF(C6&lt;6,B6*1.5,B6*3))),"")</f>
        <v/>
      </c>
      <c r="F6">
        <f>IFERROR(E6-B6,"")</f>
        <v/>
      </c>
      <c r="G6">
        <f>IFERROR(E6*C6,"")</f>
        <v/>
      </c>
      <c r="H6">
        <f>IFERROR(G6-(B6*C6),"")</f>
        <v/>
      </c>
    </row>
    <row r="7">
      <c r="A7" t="inlineStr">
        <is>
          <t>Yard Signs</t>
        </is>
      </c>
      <c r="B7" t="n">
        <v>90</v>
      </c>
      <c r="C7" t="n">
        <v>60</v>
      </c>
      <c r="D7">
        <f>IFERROR(IF(C7&lt;1,"KILL",IF(C7&lt;3,"HOLD",IF(C7&lt;6,"INCREASE 50%","TRIPLE"))),"")</f>
        <v/>
      </c>
      <c r="E7">
        <f>IFERROR(IF(C7&lt;1,0,IF(C7&lt;3,B7,IF(C7&lt;6,B7*1.5,B7*3))),"")</f>
        <v/>
      </c>
      <c r="F7">
        <f>IFERROR(E7-B7,"")</f>
        <v/>
      </c>
      <c r="G7">
        <f>IFERROR(E7*C7,"")</f>
        <v/>
      </c>
      <c r="H7">
        <f>IFERROR(G7-(B7*C7),"")</f>
        <v/>
      </c>
    </row>
    <row r="8">
      <c r="A8" t="inlineStr">
        <is>
          <t>Angi</t>
        </is>
      </c>
      <c r="B8" t="n">
        <v>610</v>
      </c>
      <c r="C8" t="n">
        <v>3.1</v>
      </c>
      <c r="D8">
        <f>IFERROR(IF(C8&lt;1,"KILL",IF(C8&lt;3,"HOLD",IF(C8&lt;6,"INCREASE 50%","TRIPLE"))),"")</f>
        <v/>
      </c>
      <c r="E8">
        <f>IFERROR(IF(C8&lt;1,0,IF(C8&lt;3,B8,IF(C8&lt;6,B8*1.5,B8*3))),"")</f>
        <v/>
      </c>
      <c r="F8">
        <f>IFERROR(E8-B8,"")</f>
        <v/>
      </c>
      <c r="G8">
        <f>IFERROR(E8*C8,"")</f>
        <v/>
      </c>
      <c r="H8">
        <f>IFERROR(G8-(B8*C8),"")</f>
        <v/>
      </c>
    </row>
    <row r="9">
      <c r="A9" t="inlineStr">
        <is>
          <t>Facebook</t>
        </is>
      </c>
      <c r="B9" t="n">
        <v>800</v>
      </c>
      <c r="C9" t="n">
        <v>3.8</v>
      </c>
      <c r="D9">
        <f>IFERROR(IF(C9&lt;1,"KILL",IF(C9&lt;3,"HOLD",IF(C9&lt;6,"INCREASE 50%","TRIPLE"))),"")</f>
        <v/>
      </c>
      <c r="E9">
        <f>IFERROR(IF(C9&lt;1,0,IF(C9&lt;3,B9,IF(C9&lt;6,B9*1.5,B9*3))),"")</f>
        <v/>
      </c>
      <c r="F9">
        <f>IFERROR(E9-B9,"")</f>
        <v/>
      </c>
      <c r="G9">
        <f>IFERROR(E9*C9,"")</f>
        <v/>
      </c>
      <c r="H9">
        <f>IFERROR(G9-(B9*C9),"")</f>
        <v/>
      </c>
    </row>
    <row r="10">
      <c r="A10" t="inlineStr">
        <is>
          <t>Truck Wraps</t>
        </is>
      </c>
      <c r="B10" t="n">
        <v>250</v>
      </c>
      <c r="C10" t="n">
        <v>11</v>
      </c>
      <c r="D10">
        <f>IFERROR(IF(C10&lt;1,"KILL",IF(C10&lt;3,"HOLD",IF(C10&lt;6,"INCREASE 50%","TRIPLE"))),"")</f>
        <v/>
      </c>
      <c r="E10">
        <f>IFERROR(IF(C10&lt;1,0,IF(C10&lt;3,B10,IF(C10&lt;6,B10*1.5,B10*3))),"")</f>
        <v/>
      </c>
      <c r="F10">
        <f>IFERROR(E10-B10,"")</f>
        <v/>
      </c>
      <c r="G10">
        <f>IFERROR(E10*C10,"")</f>
        <v/>
      </c>
      <c r="H10">
        <f>IFERROR(G10-(B10*C10),"")</f>
        <v/>
      </c>
    </row>
    <row r="11">
      <c r="A11" t="inlineStr">
        <is>
          <t>Door Hangers</t>
        </is>
      </c>
      <c r="B11" t="n">
        <v>400</v>
      </c>
      <c r="C11" t="n">
        <v>0.7</v>
      </c>
      <c r="D11">
        <f>IFERROR(IF(C11&lt;1,"KILL",IF(C11&lt;3,"HOLD",IF(C11&lt;6,"INCREASE 50%","TRIPLE"))),"")</f>
        <v/>
      </c>
      <c r="E11">
        <f>IFERROR(IF(C11&lt;1,0,IF(C11&lt;3,B11,IF(C11&lt;6,B11*1.5,B11*3))),"")</f>
        <v/>
      </c>
      <c r="F11">
        <f>IFERROR(E11-B11,"")</f>
        <v/>
      </c>
      <c r="G11">
        <f>IFERROR(E11*C11,"")</f>
        <v/>
      </c>
      <c r="H11">
        <f>IFERROR(G11-(B11*C11),"")</f>
        <v/>
      </c>
    </row>
    <row r="12">
      <c r="D12">
        <f>IFERROR(IF(C12&lt;1,"KILL",IF(C12&lt;3,"HOLD",IF(C12&lt;6,"INCREASE 50%","TRIPLE"))),"")</f>
        <v/>
      </c>
      <c r="E12">
        <f>IFERROR(IF(C12&lt;1,0,IF(C12&lt;3,B12,IF(C12&lt;6,B12*1.5,B12*3))),"")</f>
        <v/>
      </c>
      <c r="F12">
        <f>IFERROR(E12-B12,"")</f>
        <v/>
      </c>
      <c r="G12">
        <f>IFERROR(E12*C12,"")</f>
        <v/>
      </c>
      <c r="H12">
        <f>IFERROR(G12-(B12*C12),"")</f>
        <v/>
      </c>
    </row>
    <row r="13">
      <c r="D13">
        <f>IFERROR(IF(C13&lt;1,"KILL",IF(C13&lt;3,"HOLD",IF(C13&lt;6,"INCREASE 50%","TRIPLE"))),"")</f>
        <v/>
      </c>
      <c r="E13">
        <f>IFERROR(IF(C13&lt;1,0,IF(C13&lt;3,B13,IF(C13&lt;6,B13*1.5,B13*3))),"")</f>
        <v/>
      </c>
      <c r="F13">
        <f>IFERROR(E13-B13,"")</f>
        <v/>
      </c>
      <c r="G13">
        <f>IFERROR(E13*C13,"")</f>
        <v/>
      </c>
      <c r="H13">
        <f>IFERROR(G13-(B13*C13),"")</f>
        <v/>
      </c>
    </row>
    <row r="14">
      <c r="D14">
        <f>IFERROR(IF(C14&lt;1,"KILL",IF(C14&lt;3,"HOLD",IF(C14&lt;6,"INCREASE 50%","TRIPLE"))),"")</f>
        <v/>
      </c>
      <c r="E14">
        <f>IFERROR(IF(C14&lt;1,0,IF(C14&lt;3,B14,IF(C14&lt;6,B14*1.5,B14*3))),"")</f>
        <v/>
      </c>
      <c r="F14">
        <f>IFERROR(E14-B14,"")</f>
        <v/>
      </c>
      <c r="G14">
        <f>IFERROR(E14*C14,"")</f>
        <v/>
      </c>
      <c r="H14">
        <f>IFERROR(G14-(B14*C14),"")</f>
        <v/>
      </c>
    </row>
    <row r="15">
      <c r="D15">
        <f>IFERROR(IF(C15&lt;1,"KILL",IF(C15&lt;3,"HOLD",IF(C15&lt;6,"INCREASE 50%","TRIPLE"))),"")</f>
        <v/>
      </c>
      <c r="E15">
        <f>IFERROR(IF(C15&lt;1,0,IF(C15&lt;3,B15,IF(C15&lt;6,B15*1.5,B15*3))),"")</f>
        <v/>
      </c>
      <c r="F15">
        <f>IFERROR(E15-B15,"")</f>
        <v/>
      </c>
      <c r="G15">
        <f>IFERROR(E15*C15,"")</f>
        <v/>
      </c>
      <c r="H15">
        <f>IFERROR(G15-(B15*C15),"")</f>
        <v/>
      </c>
    </row>
    <row r="16">
      <c r="D16">
        <f>IFERROR(IF(C16&lt;1,"KILL",IF(C16&lt;3,"HOLD",IF(C16&lt;6,"INCREASE 50%","TRIPLE"))),"")</f>
        <v/>
      </c>
      <c r="E16">
        <f>IFERROR(IF(C16&lt;1,0,IF(C16&lt;3,B16,IF(C16&lt;6,B16*1.5,B16*3))),"")</f>
        <v/>
      </c>
      <c r="F16">
        <f>IFERROR(E16-B16,"")</f>
        <v/>
      </c>
      <c r="G16">
        <f>IFERROR(E16*C16,"")</f>
        <v/>
      </c>
      <c r="H16">
        <f>IFERROR(G16-(B16*C16),"")</f>
        <v/>
      </c>
    </row>
    <row r="17">
      <c r="D17">
        <f>IFERROR(IF(C17&lt;1,"KILL",IF(C17&lt;3,"HOLD",IF(C17&lt;6,"INCREASE 50%","TRIPLE"))),"")</f>
        <v/>
      </c>
      <c r="E17">
        <f>IFERROR(IF(C17&lt;1,0,IF(C17&lt;3,B17,IF(C17&lt;6,B17*1.5,B17*3))),"")</f>
        <v/>
      </c>
      <c r="F17">
        <f>IFERROR(E17-B17,"")</f>
        <v/>
      </c>
      <c r="G17">
        <f>IFERROR(E17*C17,"")</f>
        <v/>
      </c>
      <c r="H17">
        <f>IFERROR(G17-(B17*C17),"")</f>
        <v/>
      </c>
    </row>
    <row r="18">
      <c r="D18">
        <f>IFERROR(IF(C18&lt;1,"KILL",IF(C18&lt;3,"HOLD",IF(C18&lt;6,"INCREASE 50%","TRIPLE"))),"")</f>
        <v/>
      </c>
      <c r="E18">
        <f>IFERROR(IF(C18&lt;1,0,IF(C18&lt;3,B18,IF(C18&lt;6,B18*1.5,B18*3))),"")</f>
        <v/>
      </c>
      <c r="F18">
        <f>IFERROR(E18-B18,"")</f>
        <v/>
      </c>
      <c r="G18">
        <f>IFERROR(E18*C18,"")</f>
        <v/>
      </c>
      <c r="H18">
        <f>IFERROR(G18-(B18*C18),"")</f>
        <v/>
      </c>
    </row>
    <row r="19">
      <c r="D19">
        <f>IFERROR(IF(C19&lt;1,"KILL",IF(C19&lt;3,"HOLD",IF(C19&lt;6,"INCREASE 50%","TRIPLE"))),"")</f>
        <v/>
      </c>
      <c r="E19">
        <f>IFERROR(IF(C19&lt;1,0,IF(C19&lt;3,B19,IF(C19&lt;6,B19*1.5,B19*3))),"")</f>
        <v/>
      </c>
      <c r="F19">
        <f>IFERROR(E19-B19,"")</f>
        <v/>
      </c>
      <c r="G19">
        <f>IFERROR(E19*C19,"")</f>
        <v/>
      </c>
      <c r="H19">
        <f>IFERROR(G19-(B19*C19),"")</f>
        <v/>
      </c>
    </row>
    <row r="20">
      <c r="D20">
        <f>IFERROR(IF(C20&lt;1,"KILL",IF(C20&lt;3,"HOLD",IF(C20&lt;6,"INCREASE 50%","TRIPLE"))),"")</f>
        <v/>
      </c>
      <c r="E20">
        <f>IFERROR(IF(C20&lt;1,0,IF(C20&lt;3,B20,IF(C20&lt;6,B20*1.5,B20*3))),"")</f>
        <v/>
      </c>
      <c r="F20">
        <f>IFERROR(E20-B20,"")</f>
        <v/>
      </c>
      <c r="G20">
        <f>IFERROR(E20*C20,"")</f>
        <v/>
      </c>
      <c r="H20">
        <f>IFERROR(G20-(B20*C20),"")</f>
        <v/>
      </c>
    </row>
    <row r="21">
      <c r="D21">
        <f>IFERROR(IF(C21&lt;1,"KILL",IF(C21&lt;3,"HOLD",IF(C21&lt;6,"INCREASE 50%","TRIPLE"))),"")</f>
        <v/>
      </c>
      <c r="E21">
        <f>IFERROR(IF(C21&lt;1,0,IF(C21&lt;3,B21,IF(C21&lt;6,B21*1.5,B21*3))),"")</f>
        <v/>
      </c>
      <c r="F21">
        <f>IFERROR(E21-B21,"")</f>
        <v/>
      </c>
      <c r="G21">
        <f>IFERROR(E21*C21,"")</f>
        <v/>
      </c>
      <c r="H21">
        <f>IFERROR(G21-(B21*C21),"")</f>
        <v/>
      </c>
    </row>
    <row r="22">
      <c r="D22">
        <f>IFERROR(IF(C22&lt;1,"KILL",IF(C22&lt;3,"HOLD",IF(C22&lt;6,"INCREASE 50%","TRIPLE"))),"")</f>
        <v/>
      </c>
      <c r="E22">
        <f>IFERROR(IF(C22&lt;1,0,IF(C22&lt;3,B22,IF(C22&lt;6,B22*1.5,B22*3))),"")</f>
        <v/>
      </c>
      <c r="F22">
        <f>IFERROR(E22-B22,"")</f>
        <v/>
      </c>
      <c r="G22">
        <f>IFERROR(E22*C22,"")</f>
        <v/>
      </c>
      <c r="H22">
        <f>IFERROR(G22-(B22*C22),"")</f>
        <v/>
      </c>
    </row>
    <row r="23">
      <c r="D23">
        <f>IFERROR(IF(C23&lt;1,"KILL",IF(C23&lt;3,"HOLD",IF(C23&lt;6,"INCREASE 50%","TRIPLE"))),"")</f>
        <v/>
      </c>
      <c r="E23">
        <f>IFERROR(IF(C23&lt;1,0,IF(C23&lt;3,B23,IF(C23&lt;6,B23*1.5,B23*3))),"")</f>
        <v/>
      </c>
      <c r="F23">
        <f>IFERROR(E23-B23,"")</f>
        <v/>
      </c>
      <c r="G23">
        <f>IFERROR(E23*C23,"")</f>
        <v/>
      </c>
      <c r="H23">
        <f>IFERROR(G23-(B23*C23),"")</f>
        <v/>
      </c>
    </row>
    <row r="24">
      <c r="D24">
        <f>IFERROR(IF(C24&lt;1,"KILL",IF(C24&lt;3,"HOLD",IF(C24&lt;6,"INCREASE 50%","TRIPLE"))),"")</f>
        <v/>
      </c>
      <c r="E24">
        <f>IFERROR(IF(C24&lt;1,0,IF(C24&lt;3,B24,IF(C24&lt;6,B24*1.5,B24*3))),"")</f>
        <v/>
      </c>
      <c r="F24">
        <f>IFERROR(E24-B24,"")</f>
        <v/>
      </c>
      <c r="G24">
        <f>IFERROR(E24*C24,"")</f>
        <v/>
      </c>
      <c r="H24">
        <f>IFERROR(G24-(B24*C24),"")</f>
        <v/>
      </c>
    </row>
    <row r="25">
      <c r="D25">
        <f>IFERROR(IF(C25&lt;1,"KILL",IF(C25&lt;3,"HOLD",IF(C25&lt;6,"INCREASE 50%","TRIPLE"))),"")</f>
        <v/>
      </c>
      <c r="E25">
        <f>IFERROR(IF(C25&lt;1,0,IF(C25&lt;3,B25,IF(C25&lt;6,B25*1.5,B25*3))),"")</f>
        <v/>
      </c>
      <c r="F25">
        <f>IFERROR(E25-B25,"")</f>
        <v/>
      </c>
      <c r="G25">
        <f>IFERROR(E25*C25,"")</f>
        <v/>
      </c>
      <c r="H25">
        <f>IFERROR(G25-(B25*C25),"")</f>
        <v/>
      </c>
    </row>
    <row r="26">
      <c r="D26">
        <f>IFERROR(IF(C26&lt;1,"KILL",IF(C26&lt;3,"HOLD",IF(C26&lt;6,"INCREASE 50%","TRIPLE"))),"")</f>
        <v/>
      </c>
      <c r="E26">
        <f>IFERROR(IF(C26&lt;1,0,IF(C26&lt;3,B26,IF(C26&lt;6,B26*1.5,B26*3))),"")</f>
        <v/>
      </c>
      <c r="F26">
        <f>IFERROR(E26-B26,"")</f>
        <v/>
      </c>
      <c r="G26">
        <f>IFERROR(E26*C26,"")</f>
        <v/>
      </c>
      <c r="H26">
        <f>IFERROR(G26-(B26*C26),"")</f>
        <v/>
      </c>
    </row>
  </sheetData>
  <mergeCells count="1">
    <mergeCell ref="A1:H3"/>
  </mergeCells>
  <conditionalFormatting sqref="F6:F2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H6:H26"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7" customWidth="1" min="4" max="4"/>
    <col width="24" customWidth="1" min="5" max="5"/>
    <col width="16" customWidth="1" min="6" max="6"/>
    <col width="16" customWidth="1" min="7" max="7"/>
  </cols>
  <sheetData>
    <row r="1">
      <c r="A1" s="1" t="inlineStr">
        <is>
          <t>AI INSIGHT SUMMARY:
Yard Signs cost only $9 per acquired customer at $540 lifetime value -- a 60x return and your hidden best channel; triple the order immediately. Google LSA costs $84 per customer averaging $610 LTV for a 7.3x ROI -- scale this aggressively. Angi costs $61 per customer but those convert to one-time $190 jobs at 3.1x ROI and declining; cap spend now. Door Hangers are flagged as WASTED SPEND at 0.7x ROI -- you are losing money on every dollar; kill this channel and reallocate its $400 budget toward Yard Signs and Google LSA. Net, shifting $400 from losing channels to your top two would add an estimated $2,900 in returned revenue next month.</t>
        </is>
      </c>
    </row>
    <row r="2"/>
    <row r="3"/>
    <row r="4"/>
    <row r="5">
      <c r="A5" s="2" t="inlineStr">
        <is>
          <t>Month</t>
        </is>
      </c>
      <c r="B5" s="2" t="inlineStr">
        <is>
          <t>Total Spend</t>
        </is>
      </c>
      <c r="C5" s="2" t="inlineStr">
        <is>
          <t>Total Customers</t>
        </is>
      </c>
      <c r="D5" s="2" t="inlineStr">
        <is>
          <t>Blended Cost Per Customer</t>
        </is>
      </c>
      <c r="E5" s="2" t="inlineStr">
        <is>
          <t>Total Returned Revenue</t>
        </is>
      </c>
      <c r="F5" s="2" t="inlineStr">
        <is>
          <t>Blended ROI</t>
        </is>
      </c>
      <c r="G5" s="2" t="inlineStr">
        <is>
          <t>Trend Verdict</t>
        </is>
      </c>
    </row>
    <row r="6">
      <c r="A6" t="inlineStr">
        <is>
          <t>January</t>
        </is>
      </c>
      <c r="B6" t="n">
        <v>3830</v>
      </c>
      <c r="C6" t="n">
        <v>56</v>
      </c>
      <c r="D6">
        <f>IFERROR(IF(C6=0,B6,B6/C6),"")</f>
        <v/>
      </c>
      <c r="E6" t="n">
        <v>25920</v>
      </c>
      <c r="F6">
        <f>IFERROR(IF(B6=0,0,E6/B6),"")</f>
        <v/>
      </c>
      <c r="G6">
        <f>IFERROR(IF(F6&lt;2,"DANGER - marketing barely paying for itself",IF(F6&lt;4,"OK - healthy but optimize mix","STRONG - marketing engine is profitable")),"")</f>
        <v/>
      </c>
    </row>
    <row r="7">
      <c r="A7" t="inlineStr">
        <is>
          <t>February</t>
        </is>
      </c>
      <c r="B7" t="n">
        <v>4100</v>
      </c>
      <c r="C7" t="n">
        <v>52</v>
      </c>
      <c r="D7">
        <f>IFERROR(IF(C7=0,B7,B7/C7),"")</f>
        <v/>
      </c>
      <c r="E7" t="n">
        <v>24800</v>
      </c>
      <c r="F7">
        <f>IFERROR(IF(B7=0,0,E7/B7),"")</f>
        <v/>
      </c>
      <c r="G7">
        <f>IFERROR(IF(F7&lt;2,"DANGER - marketing barely paying for itself",IF(F7&lt;4,"OK - healthy but optimize mix","STRONG - marketing engine is profitable")),"")</f>
        <v/>
      </c>
    </row>
    <row r="8">
      <c r="A8" t="inlineStr">
        <is>
          <t>March</t>
        </is>
      </c>
      <c r="B8" t="n">
        <v>4400</v>
      </c>
      <c r="C8" t="n">
        <v>48</v>
      </c>
      <c r="D8">
        <f>IFERROR(IF(C8=0,B8,B8/C8),"")</f>
        <v/>
      </c>
      <c r="E8" t="n">
        <v>18900</v>
      </c>
      <c r="F8">
        <f>IFERROR(IF(B8=0,0,E8/B8),"")</f>
        <v/>
      </c>
      <c r="G8">
        <f>IFERROR(IF(F8&lt;2,"DANGER - marketing barely paying for itself",IF(F8&lt;4,"OK - healthy but optimize mix","STRONG - marketing engine is profitable")),"")</f>
        <v/>
      </c>
    </row>
    <row r="9">
      <c r="A9" t="inlineStr">
        <is>
          <t>April</t>
        </is>
      </c>
      <c r="B9" t="n">
        <v>4600</v>
      </c>
      <c r="C9" t="n">
        <v>44</v>
      </c>
      <c r="D9">
        <f>IFERROR(IF(C9=0,B9,B9/C9),"")</f>
        <v/>
      </c>
      <c r="E9" t="n">
        <v>15400</v>
      </c>
      <c r="F9">
        <f>IFERROR(IF(B9=0,0,E9/B9),"")</f>
        <v/>
      </c>
      <c r="G9">
        <f>IFERROR(IF(F9&lt;2,"DANGER - marketing barely paying for itself",IF(F9&lt;4,"OK - healthy but optimize mix","STRONG - marketing engine is profitable")),"")</f>
        <v/>
      </c>
    </row>
    <row r="10">
      <c r="A10" t="inlineStr">
        <is>
          <t>May</t>
        </is>
      </c>
      <c r="B10" t="n">
        <v>4800</v>
      </c>
      <c r="C10" t="n">
        <v>40</v>
      </c>
      <c r="D10">
        <f>IFERROR(IF(C10=0,B10,B10/C10),"")</f>
        <v/>
      </c>
      <c r="E10" t="n">
        <v>12100</v>
      </c>
      <c r="F10">
        <f>IFERROR(IF(B10=0,0,E10/B10),"")</f>
        <v/>
      </c>
      <c r="G10">
        <f>IFERROR(IF(F10&lt;2,"DANGER - marketing barely paying for itself",IF(F10&lt;4,"OK - healthy but optimize mix","STRONG - marketing engine is profitable")),"")</f>
        <v/>
      </c>
    </row>
    <row r="11">
      <c r="A11" t="inlineStr">
        <is>
          <t>June</t>
        </is>
      </c>
      <c r="B11" t="n">
        <v>5000</v>
      </c>
      <c r="C11" t="n">
        <v>36</v>
      </c>
      <c r="D11">
        <f>IFERROR(IF(C11=0,B11,B11/C11),"")</f>
        <v/>
      </c>
      <c r="E11" t="n">
        <v>9200</v>
      </c>
      <c r="F11">
        <f>IFERROR(IF(B11=0,0,E11/B11),"")</f>
        <v/>
      </c>
      <c r="G11">
        <f>IFERROR(IF(F11&lt;2,"DANGER - marketing barely paying for itself",IF(F11&lt;4,"OK - healthy but optimize mix","STRONG - marketing engine is profitable")),"")</f>
        <v/>
      </c>
    </row>
    <row r="12">
      <c r="D12">
        <f>IFERROR(IF(C12=0,B12,B12/C12),"")</f>
        <v/>
      </c>
      <c r="F12">
        <f>IFERROR(IF(B12=0,0,E12/B12),"")</f>
        <v/>
      </c>
      <c r="G12">
        <f>IFERROR(IF(F12&lt;2,"DANGER - marketing barely paying for itself",IF(F12&lt;4,"OK - healthy but optimize mix","STRONG - marketing engine is profitable")),"")</f>
        <v/>
      </c>
    </row>
    <row r="13">
      <c r="D13">
        <f>IFERROR(IF(C13=0,B13,B13/C13),"")</f>
        <v/>
      </c>
      <c r="F13">
        <f>IFERROR(IF(B13=0,0,E13/B13),"")</f>
        <v/>
      </c>
      <c r="G13">
        <f>IFERROR(IF(F13&lt;2,"DANGER - marketing barely paying for itself",IF(F13&lt;4,"OK - healthy but optimize mix","STRONG - marketing engine is profitable")),"")</f>
        <v/>
      </c>
    </row>
    <row r="14">
      <c r="D14">
        <f>IFERROR(IF(C14=0,B14,B14/C14),"")</f>
        <v/>
      </c>
      <c r="F14">
        <f>IFERROR(IF(B14=0,0,E14/B14),"")</f>
        <v/>
      </c>
      <c r="G14">
        <f>IFERROR(IF(F14&lt;2,"DANGER - marketing barely paying for itself",IF(F14&lt;4,"OK - healthy but optimize mix","STRONG - marketing engine is profitable")),"")</f>
        <v/>
      </c>
    </row>
    <row r="15">
      <c r="D15">
        <f>IFERROR(IF(C15=0,B15,B15/C15),"")</f>
        <v/>
      </c>
      <c r="F15">
        <f>IFERROR(IF(B15=0,0,E15/B15),"")</f>
        <v/>
      </c>
      <c r="G15">
        <f>IFERROR(IF(F15&lt;2,"DANGER - marketing barely paying for itself",IF(F15&lt;4,"OK - healthy but optimize mix","STRONG - marketing engine is profitable")),"")</f>
        <v/>
      </c>
    </row>
    <row r="16">
      <c r="D16">
        <f>IFERROR(IF(C16=0,B16,B16/C16),"")</f>
        <v/>
      </c>
      <c r="F16">
        <f>IFERROR(IF(B16=0,0,E16/B16),"")</f>
        <v/>
      </c>
      <c r="G16">
        <f>IFERROR(IF(F16&lt;2,"DANGER - marketing barely paying for itself",IF(F16&lt;4,"OK - healthy but optimize mix","STRONG - marketing engine is profitable")),"")</f>
        <v/>
      </c>
    </row>
    <row r="17">
      <c r="D17">
        <f>IFERROR(IF(C17=0,B17,B17/C17),"")</f>
        <v/>
      </c>
      <c r="F17">
        <f>IFERROR(IF(B17=0,0,E17/B17),"")</f>
        <v/>
      </c>
      <c r="G17">
        <f>IFERROR(IF(F17&lt;2,"DANGER - marketing barely paying for itself",IF(F17&lt;4,"OK - healthy but optimize mix","STRONG - marketing engine is profitable")),"")</f>
        <v/>
      </c>
    </row>
    <row r="18">
      <c r="D18">
        <f>IFERROR(IF(C18=0,B18,B18/C18),"")</f>
        <v/>
      </c>
      <c r="F18">
        <f>IFERROR(IF(B18=0,0,E18/B18),"")</f>
        <v/>
      </c>
      <c r="G18">
        <f>IFERROR(IF(F18&lt;2,"DANGER - marketing barely paying for itself",IF(F18&lt;4,"OK - healthy but optimize mix","STRONG - marketing engine is profitable")),"")</f>
        <v/>
      </c>
    </row>
    <row r="19">
      <c r="D19">
        <f>IFERROR(IF(C19=0,B19,B19/C19),"")</f>
        <v/>
      </c>
      <c r="F19">
        <f>IFERROR(IF(B19=0,0,E19/B19),"")</f>
        <v/>
      </c>
      <c r="G19">
        <f>IFERROR(IF(F19&lt;2,"DANGER - marketing barely paying for itself",IF(F19&lt;4,"OK - healthy but optimize mix","STRONG - marketing engine is profitable")),"")</f>
        <v/>
      </c>
    </row>
    <row r="20">
      <c r="D20">
        <f>IFERROR(IF(C20=0,B20,B20/C20),"")</f>
        <v/>
      </c>
      <c r="F20">
        <f>IFERROR(IF(B20=0,0,E20/B20),"")</f>
        <v/>
      </c>
      <c r="G20">
        <f>IFERROR(IF(F20&lt;2,"DANGER - marketing barely paying for itself",IF(F20&lt;4,"OK - healthy but optimize mix","STRONG - marketing engine is profitable")),"")</f>
        <v/>
      </c>
    </row>
    <row r="21">
      <c r="D21">
        <f>IFERROR(IF(C21=0,B21,B21/C21),"")</f>
        <v/>
      </c>
      <c r="F21">
        <f>IFERROR(IF(B21=0,0,E21/B21),"")</f>
        <v/>
      </c>
      <c r="G21">
        <f>IFERROR(IF(F21&lt;2,"DANGER - marketing barely paying for itself",IF(F21&lt;4,"OK - healthy but optimize mix","STRONG - marketing engine is profitable")),"")</f>
        <v/>
      </c>
    </row>
    <row r="22">
      <c r="D22">
        <f>IFERROR(IF(C22=0,B22,B22/C22),"")</f>
        <v/>
      </c>
      <c r="F22">
        <f>IFERROR(IF(B22=0,0,E22/B22),"")</f>
        <v/>
      </c>
      <c r="G22">
        <f>IFERROR(IF(F22&lt;2,"DANGER - marketing barely paying for itself",IF(F22&lt;4,"OK - healthy but optimize mix","STRONG - marketing engine is profitable")),"")</f>
        <v/>
      </c>
    </row>
    <row r="23">
      <c r="D23">
        <f>IFERROR(IF(C23=0,B23,B23/C23),"")</f>
        <v/>
      </c>
      <c r="F23">
        <f>IFERROR(IF(B23=0,0,E23/B23),"")</f>
        <v/>
      </c>
      <c r="G23">
        <f>IFERROR(IF(F23&lt;2,"DANGER - marketing barely paying for itself",IF(F23&lt;4,"OK - healthy but optimize mix","STRONG - marketing engine is profitable")),"")</f>
        <v/>
      </c>
    </row>
    <row r="24">
      <c r="D24">
        <f>IFERROR(IF(C24=0,B24,B24/C24),"")</f>
        <v/>
      </c>
      <c r="F24">
        <f>IFERROR(IF(B24=0,0,E24/B24),"")</f>
        <v/>
      </c>
      <c r="G24">
        <f>IFERROR(IF(F24&lt;2,"DANGER - marketing barely paying for itself",IF(F24&lt;4,"OK - healthy but optimize mix","STRONG - marketing engine is profitable")),"")</f>
        <v/>
      </c>
    </row>
    <row r="25">
      <c r="D25">
        <f>IFERROR(IF(C25=0,B25,B25/C25),"")</f>
        <v/>
      </c>
      <c r="F25">
        <f>IFERROR(IF(B25=0,0,E25/B25),"")</f>
        <v/>
      </c>
      <c r="G25">
        <f>IFERROR(IF(F25&lt;2,"DANGER - marketing barely paying for itself",IF(F25&lt;4,"OK - healthy but optimize mix","STRONG - marketing engine is profitable")),"")</f>
        <v/>
      </c>
    </row>
    <row r="26">
      <c r="D26">
        <f>IFERROR(IF(C26=0,B26,B26/C26),"")</f>
        <v/>
      </c>
      <c r="F26">
        <f>IFERROR(IF(B26=0,0,E26/B26),"")</f>
        <v/>
      </c>
      <c r="G26">
        <f>IFERROR(IF(F26&lt;2,"DANGER - marketing barely paying for itself",IF(F26&lt;4,"OK - healthy but optimize mix","STRONG - marketing engine is profitable")),"")</f>
        <v/>
      </c>
    </row>
  </sheetData>
  <mergeCells count="1">
    <mergeCell ref="A1:G3"/>
  </mergeCells>
  <conditionalFormatting sqref="F6:F26">
    <cfRule type="cellIs" priority="1" operator="lessThan" dxfId="0">
      <formula>2</formula>
    </cfRule>
    <cfRule type="cellIs" priority="2" operator="greaterThan" dxfId="1">
      <formula>4</formula>
    </cfRule>
  </conditionalFormatting>
  <conditionalFormatting sqref="D6:D26">
    <cfRule type="cellIs" priority="3" operator="greaterThan" dxfId="2">
      <formula>90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2026-06-29T02:48:47Z</dcterms:created>
  <dcterms:modified xsi:type="dcterms:W3CDTF">2026-06-29T03:44:05Z</dcterms:modified>
</cp:coreProperties>
</file>