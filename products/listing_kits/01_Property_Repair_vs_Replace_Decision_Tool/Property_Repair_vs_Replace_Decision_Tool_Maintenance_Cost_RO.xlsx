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air Log" sheetId="1" state="visible" r:id="rId1"/>
    <sheet name="Repair vs Replace Engine" sheetId="2" state="visible" r:id="rId2"/>
    <sheet name="Unit Profitability" sheetId="3" state="visible" r:id="rId3"/>
    <sheet name="Capital Reser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24" customWidth="1" min="7" max="7"/>
    <col width="24" customWidth="1" min="8" max="8"/>
    <col width="22" customWidth="1" min="9" max="9"/>
    <col width="16" customWidth="1" min="10" max="10"/>
  </cols>
  <sheetData>
    <row r="1">
      <c r="A1" s="1" t="inlineStr">
        <is>
          <t>AI INSIGHT SUMMARY:
The HVAC system in Unit 4 has cost $2,340 in repairs over 18 months against a $4,800 replacement cost, crossing the repair-replace threshold — financing a new unit over 36 months is now cheaper than continued repairs. Unit 7's plumbing repair burn rate of $1,560/year is consuming 14% of its annual rent, flagging it as a profitability drain. Your portfolio's capital reserve is currently funded at 62% of the recommended target, leaving a $9,400 shortfall against systems approaching end-of-life. Recommended action this quarter: replace Unit 4 HVAC and increase reserve contributions by $185/month to cover the three roofs entering their replacement window within 24 months.</t>
        </is>
      </c>
    </row>
    <row r="2"/>
    <row r="3"/>
    <row r="4"/>
    <row r="5">
      <c r="A5" s="2" t="inlineStr">
        <is>
          <t>Unit</t>
        </is>
      </c>
      <c r="B5" s="2" t="inlineStr">
        <is>
          <t>System</t>
        </is>
      </c>
      <c r="C5" s="2" t="inlineStr">
        <is>
          <t>Repair Date</t>
        </is>
      </c>
      <c r="D5" s="2" t="inlineStr">
        <is>
          <t>Repair Cost</t>
        </is>
      </c>
      <c r="E5" s="2" t="inlineStr">
        <is>
          <t>Months Since Install</t>
        </is>
      </c>
      <c r="F5" s="2" t="inlineStr">
        <is>
          <t>Replacement Cost</t>
        </is>
      </c>
      <c r="G5" s="2" t="inlineStr">
        <is>
          <t>Cumulative Repair Cost</t>
        </is>
      </c>
      <c r="H5" s="2" t="inlineStr">
        <is>
          <t>Annualized Repair Burn</t>
        </is>
      </c>
      <c r="I5" s="2" t="inlineStr">
        <is>
          <t>Repair-Replace Ratio</t>
        </is>
      </c>
      <c r="J5" s="2" t="inlineStr">
        <is>
          <t>Verdict</t>
        </is>
      </c>
    </row>
    <row r="6">
      <c r="A6" t="inlineStr">
        <is>
          <t>Unit 4</t>
        </is>
      </c>
      <c r="B6" t="inlineStr">
        <is>
          <t>HVAC</t>
        </is>
      </c>
      <c r="C6" t="inlineStr">
        <is>
          <t>2024-03-12</t>
        </is>
      </c>
      <c r="D6" t="n">
        <v>640</v>
      </c>
      <c r="E6" t="n">
        <v>18</v>
      </c>
      <c r="F6" t="n">
        <v>4800</v>
      </c>
      <c r="G6" t="n">
        <v>2340</v>
      </c>
      <c r="H6">
        <f>IFERROR(IF(E6=0,0,(G6/E6)*12),"")</f>
        <v/>
      </c>
      <c r="I6">
        <f>IFERROR(IF(F6=0,0,G6/F6),"")</f>
        <v/>
      </c>
      <c r="J6">
        <f>IFERROR(IF(I6&gt;=0.5,"REPLACE - repairs exceed replace economics",IF(I6&gt;=0.3,"MONITOR - approaching threshold","REPAIR - still economical")),"")</f>
        <v/>
      </c>
    </row>
    <row r="7">
      <c r="A7" t="inlineStr">
        <is>
          <t>Unit 7</t>
        </is>
      </c>
      <c r="B7" t="inlineStr">
        <is>
          <t>Plumbing</t>
        </is>
      </c>
      <c r="C7" t="inlineStr">
        <is>
          <t>2024-05-02</t>
        </is>
      </c>
      <c r="D7" t="n">
        <v>410</v>
      </c>
      <c r="E7" t="n">
        <v>24</v>
      </c>
      <c r="F7" t="n">
        <v>3200</v>
      </c>
      <c r="G7" t="n">
        <v>1560</v>
      </c>
      <c r="H7">
        <f>IFERROR(IF(E7=0,0,(G7/E7)*12),"")</f>
        <v/>
      </c>
      <c r="I7">
        <f>IFERROR(IF(F7=0,0,G7/F7),"")</f>
        <v/>
      </c>
      <c r="J7">
        <f>IFERROR(IF(I7&gt;=0.5,"REPLACE - repairs exceed replace economics",IF(I7&gt;=0.3,"MONITOR - approaching threshold","REPAIR - still economical")),"")</f>
        <v/>
      </c>
    </row>
    <row r="8">
      <c r="A8" t="inlineStr">
        <is>
          <t>Unit 2</t>
        </is>
      </c>
      <c r="B8" t="inlineStr">
        <is>
          <t>Roof</t>
        </is>
      </c>
      <c r="C8" t="inlineStr">
        <is>
          <t>2024-01-18</t>
        </is>
      </c>
      <c r="D8" t="n">
        <v>1200</v>
      </c>
      <c r="E8" t="n">
        <v>60</v>
      </c>
      <c r="F8" t="n">
        <v>9000</v>
      </c>
      <c r="G8" t="n">
        <v>4800</v>
      </c>
      <c r="H8">
        <f>IFERROR(IF(E8=0,0,(G8/E8)*12),"")</f>
        <v/>
      </c>
      <c r="I8">
        <f>IFERROR(IF(F8=0,0,G8/F8),"")</f>
        <v/>
      </c>
      <c r="J8">
        <f>IFERROR(IF(I8&gt;=0.5,"REPLACE - repairs exceed replace economics",IF(I8&gt;=0.3,"MONITOR - approaching threshold","REPAIR - still economical")),"")</f>
        <v/>
      </c>
    </row>
    <row r="9">
      <c r="A9" t="inlineStr">
        <is>
          <t>Unit 9</t>
        </is>
      </c>
      <c r="B9" t="inlineStr">
        <is>
          <t>HVAC</t>
        </is>
      </c>
      <c r="C9" t="inlineStr">
        <is>
          <t>2024-06-21</t>
        </is>
      </c>
      <c r="D9" t="n">
        <v>180</v>
      </c>
      <c r="E9" t="n">
        <v>8</v>
      </c>
      <c r="F9" t="n">
        <v>4600</v>
      </c>
      <c r="G9" t="n">
        <v>360</v>
      </c>
      <c r="H9">
        <f>IFERROR(IF(E9=0,0,(G9/E9)*12),"")</f>
        <v/>
      </c>
      <c r="I9">
        <f>IFERROR(IF(F9=0,0,G9/F9),"")</f>
        <v/>
      </c>
      <c r="J9">
        <f>IFERROR(IF(I9&gt;=0.5,"REPLACE - repairs exceed replace economics",IF(I9&gt;=0.3,"MONITOR - approaching threshold","REPAIR - still economical")),"")</f>
        <v/>
      </c>
    </row>
    <row r="10">
      <c r="A10" t="inlineStr">
        <is>
          <t>Unit 3</t>
        </is>
      </c>
      <c r="B10" t="inlineStr">
        <is>
          <t>Water Heater</t>
        </is>
      </c>
      <c r="C10" t="inlineStr">
        <is>
          <t>2024-04-09</t>
        </is>
      </c>
      <c r="D10" t="n">
        <v>220</v>
      </c>
      <c r="E10" t="n">
        <v>30</v>
      </c>
      <c r="F10" t="n">
        <v>1400</v>
      </c>
      <c r="G10" t="n">
        <v>520</v>
      </c>
      <c r="H10">
        <f>IFERROR(IF(E10=0,0,(G10/E10)*12),"")</f>
        <v/>
      </c>
      <c r="I10">
        <f>IFERROR(IF(F10=0,0,G10/F10),"")</f>
        <v/>
      </c>
      <c r="J10">
        <f>IFERROR(IF(I10&gt;=0.5,"REPLACE - repairs exceed replace economics",IF(I10&gt;=0.3,"MONITOR - approaching threshold","REPAIR - still economical")),"")</f>
        <v/>
      </c>
    </row>
    <row r="11">
      <c r="H11">
        <f>IFERROR(IF(E11=0,0,(G11/E11)*12),"")</f>
        <v/>
      </c>
      <c r="I11">
        <f>IFERROR(IF(F11=0,0,G11/F11),"")</f>
        <v/>
      </c>
      <c r="J11">
        <f>IFERROR(IF(I11&gt;=0.5,"REPLACE - repairs exceed replace economics",IF(I11&gt;=0.3,"MONITOR - approaching threshold","REPAIR - still economical")),"")</f>
        <v/>
      </c>
    </row>
    <row r="12">
      <c r="H12">
        <f>IFERROR(IF(E12=0,0,(G12/E12)*12),"")</f>
        <v/>
      </c>
      <c r="I12">
        <f>IFERROR(IF(F12=0,0,G12/F12),"")</f>
        <v/>
      </c>
      <c r="J12">
        <f>IFERROR(IF(I12&gt;=0.5,"REPLACE - repairs exceed replace economics",IF(I12&gt;=0.3,"MONITOR - approaching threshold","REPAIR - still economical")),"")</f>
        <v/>
      </c>
    </row>
    <row r="13">
      <c r="H13">
        <f>IFERROR(IF(E13=0,0,(G13/E13)*12),"")</f>
        <v/>
      </c>
      <c r="I13">
        <f>IFERROR(IF(F13=0,0,G13/F13),"")</f>
        <v/>
      </c>
      <c r="J13">
        <f>IFERROR(IF(I13&gt;=0.5,"REPLACE - repairs exceed replace economics",IF(I13&gt;=0.3,"MONITOR - approaching threshold","REPAIR - still economical")),"")</f>
        <v/>
      </c>
    </row>
    <row r="14">
      <c r="H14">
        <f>IFERROR(IF(E14=0,0,(G14/E14)*12),"")</f>
        <v/>
      </c>
      <c r="I14">
        <f>IFERROR(IF(F14=0,0,G14/F14),"")</f>
        <v/>
      </c>
      <c r="J14">
        <f>IFERROR(IF(I14&gt;=0.5,"REPLACE - repairs exceed replace economics",IF(I14&gt;=0.3,"MONITOR - approaching threshold","REPAIR - still economical")),"")</f>
        <v/>
      </c>
    </row>
    <row r="15">
      <c r="H15">
        <f>IFERROR(IF(E15=0,0,(G15/E15)*12),"")</f>
        <v/>
      </c>
      <c r="I15">
        <f>IFERROR(IF(F15=0,0,G15/F15),"")</f>
        <v/>
      </c>
      <c r="J15">
        <f>IFERROR(IF(I15&gt;=0.5,"REPLACE - repairs exceed replace economics",IF(I15&gt;=0.3,"MONITOR - approaching threshold","REPAIR - still economical")),"")</f>
        <v/>
      </c>
    </row>
    <row r="16">
      <c r="H16">
        <f>IFERROR(IF(E16=0,0,(G16/E16)*12),"")</f>
        <v/>
      </c>
      <c r="I16">
        <f>IFERROR(IF(F16=0,0,G16/F16),"")</f>
        <v/>
      </c>
      <c r="J16">
        <f>IFERROR(IF(I16&gt;=0.5,"REPLACE - repairs exceed replace economics",IF(I16&gt;=0.3,"MONITOR - approaching threshold","REPAIR - still economical")),"")</f>
        <v/>
      </c>
    </row>
    <row r="17">
      <c r="H17">
        <f>IFERROR(IF(E17=0,0,(G17/E17)*12),"")</f>
        <v/>
      </c>
      <c r="I17">
        <f>IFERROR(IF(F17=0,0,G17/F17),"")</f>
        <v/>
      </c>
      <c r="J17">
        <f>IFERROR(IF(I17&gt;=0.5,"REPLACE - repairs exceed replace economics",IF(I17&gt;=0.3,"MONITOR - approaching threshold","REPAIR - still economical")),"")</f>
        <v/>
      </c>
    </row>
    <row r="18">
      <c r="H18">
        <f>IFERROR(IF(E18=0,0,(G18/E18)*12),"")</f>
        <v/>
      </c>
      <c r="I18">
        <f>IFERROR(IF(F18=0,0,G18/F18),"")</f>
        <v/>
      </c>
      <c r="J18">
        <f>IFERROR(IF(I18&gt;=0.5,"REPLACE - repairs exceed replace economics",IF(I18&gt;=0.3,"MONITOR - approaching threshold","REPAIR - still economical")),"")</f>
        <v/>
      </c>
    </row>
    <row r="19">
      <c r="H19">
        <f>IFERROR(IF(E19=0,0,(G19/E19)*12),"")</f>
        <v/>
      </c>
      <c r="I19">
        <f>IFERROR(IF(F19=0,0,G19/F19),"")</f>
        <v/>
      </c>
      <c r="J19">
        <f>IFERROR(IF(I19&gt;=0.5,"REPLACE - repairs exceed replace economics",IF(I19&gt;=0.3,"MONITOR - approaching threshold","REPAIR - still economical")),"")</f>
        <v/>
      </c>
    </row>
    <row r="20">
      <c r="H20">
        <f>IFERROR(IF(E20=0,0,(G20/E20)*12),"")</f>
        <v/>
      </c>
      <c r="I20">
        <f>IFERROR(IF(F20=0,0,G20/F20),"")</f>
        <v/>
      </c>
      <c r="J20">
        <f>IFERROR(IF(I20&gt;=0.5,"REPLACE - repairs exceed replace economics",IF(I20&gt;=0.3,"MONITOR - approaching threshold","REPAIR - still economical")),"")</f>
        <v/>
      </c>
    </row>
    <row r="21">
      <c r="H21">
        <f>IFERROR(IF(E21=0,0,(G21/E21)*12),"")</f>
        <v/>
      </c>
      <c r="I21">
        <f>IFERROR(IF(F21=0,0,G21/F21),"")</f>
        <v/>
      </c>
      <c r="J21">
        <f>IFERROR(IF(I21&gt;=0.5,"REPLACE - repairs exceed replace economics",IF(I21&gt;=0.3,"MONITOR - approaching threshold","REPAIR - still economical")),"")</f>
        <v/>
      </c>
    </row>
    <row r="22">
      <c r="H22">
        <f>IFERROR(IF(E22=0,0,(G22/E22)*12),"")</f>
        <v/>
      </c>
      <c r="I22">
        <f>IFERROR(IF(F22=0,0,G22/F22),"")</f>
        <v/>
      </c>
      <c r="J22">
        <f>IFERROR(IF(I22&gt;=0.5,"REPLACE - repairs exceed replace economics",IF(I22&gt;=0.3,"MONITOR - approaching threshold","REPAIR - still economical")),"")</f>
        <v/>
      </c>
    </row>
    <row r="23">
      <c r="H23">
        <f>IFERROR(IF(E23=0,0,(G23/E23)*12),"")</f>
        <v/>
      </c>
      <c r="I23">
        <f>IFERROR(IF(F23=0,0,G23/F23),"")</f>
        <v/>
      </c>
      <c r="J23">
        <f>IFERROR(IF(I23&gt;=0.5,"REPLACE - repairs exceed replace economics",IF(I23&gt;=0.3,"MONITOR - approaching threshold","REPAIR - still economical")),"")</f>
        <v/>
      </c>
    </row>
    <row r="24">
      <c r="H24">
        <f>IFERROR(IF(E24=0,0,(G24/E24)*12),"")</f>
        <v/>
      </c>
      <c r="I24">
        <f>IFERROR(IF(F24=0,0,G24/F24),"")</f>
        <v/>
      </c>
      <c r="J24">
        <f>IFERROR(IF(I24&gt;=0.5,"REPLACE - repairs exceed replace economics",IF(I24&gt;=0.3,"MONITOR - approaching threshold","REPAIR - still economical")),"")</f>
        <v/>
      </c>
    </row>
    <row r="25">
      <c r="H25">
        <f>IFERROR(IF(E25=0,0,(G25/E25)*12),"")</f>
        <v/>
      </c>
      <c r="I25">
        <f>IFERROR(IF(F25=0,0,G25/F25),"")</f>
        <v/>
      </c>
      <c r="J25">
        <f>IFERROR(IF(I25&gt;=0.5,"REPLACE - repairs exceed replace economics",IF(I25&gt;=0.3,"MONITOR - approaching threshold","REPAIR - still economical")),"")</f>
        <v/>
      </c>
    </row>
  </sheetData>
  <mergeCells count="1">
    <mergeCell ref="A1:J3"/>
  </mergeCells>
  <conditionalFormatting sqref="I6:I25">
    <cfRule type="cellIs" priority="1" operator="greaterThan" dxfId="0">
      <formula>0.5</formula>
    </cfRule>
    <cfRule type="cellIs" priority="2" operator="greaterThan" dxfId="1">
      <formula>0.3</formula>
    </cfRule>
    <cfRule type="cellIs" priority="3" operator="lessThan" dxfId="2">
      <formula>0.3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4" customWidth="1" min="4" max="4"/>
    <col width="23" customWidth="1" min="5" max="5"/>
    <col width="18" customWidth="1" min="6" max="6"/>
    <col width="26" customWidth="1" min="7" max="7"/>
    <col width="21" customWidth="1" min="8" max="8"/>
    <col width="18" customWidth="1" min="9" max="9"/>
    <col width="19" customWidth="1" min="10" max="10"/>
    <col width="19" customWidth="1" min="11" max="11"/>
    <col width="16" customWidth="1" min="12" max="12"/>
  </cols>
  <sheetData>
    <row r="1">
      <c r="A1" s="1" t="inlineStr">
        <is>
          <t>AI INSIGHT SUMMARY:
The HVAC system in Unit 4 has cost $2,340 in repairs over 18 months against a $4,800 replacement cost, crossing the repair-replace threshold — financing a new unit over 36 months is now cheaper than continued repairs. Unit 7's plumbing repair burn rate of $1,560/year is consuming 14% of its annual rent, flagging it as a profitability drain. Your portfolio's capital reserve is currently funded at 62% of the recommended target, leaving a $9,400 shortfall against systems approaching end-of-life. Recommended action this quarter: replace Unit 4 HVAC and increase reserve contributions by $185/month to cover the three roofs entering their replacement window within 24 months.</t>
        </is>
      </c>
    </row>
    <row r="2"/>
    <row r="3"/>
    <row r="4"/>
    <row r="5">
      <c r="A5" s="2" t="inlineStr">
        <is>
          <t>Unit</t>
        </is>
      </c>
      <c r="B5" s="2" t="inlineStr">
        <is>
          <t>System</t>
        </is>
      </c>
      <c r="C5" s="2" t="inlineStr">
        <is>
          <t>Cumulative Repair Cost</t>
        </is>
      </c>
      <c r="D5" s="2" t="inlineStr">
        <is>
          <t>Annualized Repair Burn</t>
        </is>
      </c>
      <c r="E5" s="2" t="inlineStr">
        <is>
          <t>Projected 12mo Repair</t>
        </is>
      </c>
      <c r="F5" s="2" t="inlineStr">
        <is>
          <t>Replacement Cost</t>
        </is>
      </c>
      <c r="G5" s="2" t="inlineStr">
        <is>
          <t>Financed Monthly Payment</t>
        </is>
      </c>
      <c r="H5" s="2" t="inlineStr">
        <is>
          <t>Annual Finance Cost</t>
        </is>
      </c>
      <c r="I5" s="2" t="inlineStr">
        <is>
          <t>Repair Path Cost</t>
        </is>
      </c>
      <c r="J5" s="2" t="inlineStr">
        <is>
          <t>Replace Path Cost</t>
        </is>
      </c>
      <c r="K5" s="2" t="inlineStr">
        <is>
          <t>Dollar Difference</t>
        </is>
      </c>
      <c r="L5" s="2" t="inlineStr">
        <is>
          <t>Recommendation</t>
        </is>
      </c>
    </row>
    <row r="6">
      <c r="A6" t="inlineStr">
        <is>
          <t>Unit 4</t>
        </is>
      </c>
      <c r="B6" t="inlineStr">
        <is>
          <t>HVAC</t>
        </is>
      </c>
      <c r="C6" t="n">
        <v>2340</v>
      </c>
      <c r="D6" t="n">
        <v>1560</v>
      </c>
      <c r="E6">
        <f>IFERROR(D6*1.15,"")</f>
        <v/>
      </c>
      <c r="F6" t="n">
        <v>4800</v>
      </c>
      <c r="G6">
        <f>IFERROR((F6*1.08)/36,"")</f>
        <v/>
      </c>
      <c r="H6">
        <f>IFERROR(G6*12,"")</f>
        <v/>
      </c>
      <c r="I6">
        <f>IFERROR(C6+E6,"")</f>
        <v/>
      </c>
      <c r="J6">
        <f>IFERROR(C6+H6,"")</f>
        <v/>
      </c>
      <c r="K6">
        <f>IFERROR(I6-J6,"")</f>
        <v/>
      </c>
      <c r="L6">
        <f>IFERROR(IF(K6&gt;0,"REPLACE - saves $"&amp;TEXT(K6,"0")&amp;" vs repairing","REPAIR - replacing costs $"&amp;TEXT(ABS(K6),"0")&amp;" more"),"")</f>
        <v/>
      </c>
    </row>
    <row r="7">
      <c r="A7" t="inlineStr">
        <is>
          <t>Unit 7</t>
        </is>
      </c>
      <c r="B7" t="inlineStr">
        <is>
          <t>Plumbing</t>
        </is>
      </c>
      <c r="C7" t="n">
        <v>1560</v>
      </c>
      <c r="D7" t="n">
        <v>780</v>
      </c>
      <c r="E7">
        <f>IFERROR(D7*1.15,"")</f>
        <v/>
      </c>
      <c r="F7" t="n">
        <v>3200</v>
      </c>
      <c r="G7">
        <f>IFERROR((F7*1.08)/36,"")</f>
        <v/>
      </c>
      <c r="H7">
        <f>IFERROR(G7*12,"")</f>
        <v/>
      </c>
      <c r="I7">
        <f>IFERROR(C7+E7,"")</f>
        <v/>
      </c>
      <c r="J7">
        <f>IFERROR(C7+H7,"")</f>
        <v/>
      </c>
      <c r="K7">
        <f>IFERROR(I7-J7,"")</f>
        <v/>
      </c>
      <c r="L7">
        <f>IFERROR(IF(K7&gt;0,"REPLACE - saves $"&amp;TEXT(K7,"0")&amp;" vs repairing","REPAIR - replacing costs $"&amp;TEXT(ABS(K7),"0")&amp;" more"),"")</f>
        <v/>
      </c>
    </row>
    <row r="8">
      <c r="A8" t="inlineStr">
        <is>
          <t>Unit 2</t>
        </is>
      </c>
      <c r="B8" t="inlineStr">
        <is>
          <t>Roof</t>
        </is>
      </c>
      <c r="C8" t="n">
        <v>4800</v>
      </c>
      <c r="D8" t="n">
        <v>960</v>
      </c>
      <c r="E8">
        <f>IFERROR(D8*1.15,"")</f>
        <v/>
      </c>
      <c r="F8" t="n">
        <v>9000</v>
      </c>
      <c r="G8">
        <f>IFERROR((F8*1.08)/36,"")</f>
        <v/>
      </c>
      <c r="H8">
        <f>IFERROR(G8*12,"")</f>
        <v/>
      </c>
      <c r="I8">
        <f>IFERROR(C8+E8,"")</f>
        <v/>
      </c>
      <c r="J8">
        <f>IFERROR(C8+H8,"")</f>
        <v/>
      </c>
      <c r="K8">
        <f>IFERROR(I8-J8,"")</f>
        <v/>
      </c>
      <c r="L8">
        <f>IFERROR(IF(K8&gt;0,"REPLACE - saves $"&amp;TEXT(K8,"0")&amp;" vs repairing","REPAIR - replacing costs $"&amp;TEXT(ABS(K8),"0")&amp;" more"),"")</f>
        <v/>
      </c>
    </row>
    <row r="9">
      <c r="A9" t="inlineStr">
        <is>
          <t>Unit 9</t>
        </is>
      </c>
      <c r="B9" t="inlineStr">
        <is>
          <t>HVAC</t>
        </is>
      </c>
      <c r="C9" t="n">
        <v>360</v>
      </c>
      <c r="D9" t="n">
        <v>540</v>
      </c>
      <c r="E9">
        <f>IFERROR(D9*1.15,"")</f>
        <v/>
      </c>
      <c r="F9" t="n">
        <v>4600</v>
      </c>
      <c r="G9">
        <f>IFERROR((F9*1.08)/36,"")</f>
        <v/>
      </c>
      <c r="H9">
        <f>IFERROR(G9*12,"")</f>
        <v/>
      </c>
      <c r="I9">
        <f>IFERROR(C9+E9,"")</f>
        <v/>
      </c>
      <c r="J9">
        <f>IFERROR(C9+H9,"")</f>
        <v/>
      </c>
      <c r="K9">
        <f>IFERROR(I9-J9,"")</f>
        <v/>
      </c>
      <c r="L9">
        <f>IFERROR(IF(K9&gt;0,"REPLACE - saves $"&amp;TEXT(K9,"0")&amp;" vs repairing","REPAIR - replacing costs $"&amp;TEXT(ABS(K9),"0")&amp;" more"),"")</f>
        <v/>
      </c>
    </row>
    <row r="10">
      <c r="A10" t="inlineStr">
        <is>
          <t>Unit 3</t>
        </is>
      </c>
      <c r="B10" t="inlineStr">
        <is>
          <t>Water Heater</t>
        </is>
      </c>
      <c r="C10" t="n">
        <v>520</v>
      </c>
      <c r="D10" t="n">
        <v>208</v>
      </c>
      <c r="E10">
        <f>IFERROR(D10*1.15,"")</f>
        <v/>
      </c>
      <c r="F10" t="n">
        <v>1400</v>
      </c>
      <c r="G10">
        <f>IFERROR((F10*1.08)/36,"")</f>
        <v/>
      </c>
      <c r="H10">
        <f>IFERROR(G10*12,"")</f>
        <v/>
      </c>
      <c r="I10">
        <f>IFERROR(C10+E10,"")</f>
        <v/>
      </c>
      <c r="J10">
        <f>IFERROR(C10+H10,"")</f>
        <v/>
      </c>
      <c r="K10">
        <f>IFERROR(I10-J10,"")</f>
        <v/>
      </c>
      <c r="L10">
        <f>IFERROR(IF(K10&gt;0,"REPLACE - saves $"&amp;TEXT(K10,"0")&amp;" vs repairing","REPAIR - replacing costs $"&amp;TEXT(ABS(K10),"0")&amp;" more"),"")</f>
        <v/>
      </c>
    </row>
    <row r="11">
      <c r="E11">
        <f>IFERROR(D11*1.15,"")</f>
        <v/>
      </c>
      <c r="G11">
        <f>IFERROR((F11*1.08)/36,"")</f>
        <v/>
      </c>
      <c r="H11">
        <f>IFERROR(G11*12,"")</f>
        <v/>
      </c>
      <c r="I11">
        <f>IFERROR(C11+E11,"")</f>
        <v/>
      </c>
      <c r="J11">
        <f>IFERROR(C11+H11,"")</f>
        <v/>
      </c>
      <c r="K11">
        <f>IFERROR(I11-J11,"")</f>
        <v/>
      </c>
      <c r="L11">
        <f>IFERROR(IF(K11&gt;0,"REPLACE - saves $"&amp;TEXT(K11,"0")&amp;" vs repairing","REPAIR - replacing costs $"&amp;TEXT(ABS(K11),"0")&amp;" more"),"")</f>
        <v/>
      </c>
    </row>
    <row r="12">
      <c r="E12">
        <f>IFERROR(D12*1.15,"")</f>
        <v/>
      </c>
      <c r="G12">
        <f>IFERROR((F12*1.08)/36,"")</f>
        <v/>
      </c>
      <c r="H12">
        <f>IFERROR(G12*12,"")</f>
        <v/>
      </c>
      <c r="I12">
        <f>IFERROR(C12+E12,"")</f>
        <v/>
      </c>
      <c r="J12">
        <f>IFERROR(C12+H12,"")</f>
        <v/>
      </c>
      <c r="K12">
        <f>IFERROR(I12-J12,"")</f>
        <v/>
      </c>
      <c r="L12">
        <f>IFERROR(IF(K12&gt;0,"REPLACE - saves $"&amp;TEXT(K12,"0")&amp;" vs repairing","REPAIR - replacing costs $"&amp;TEXT(ABS(K12),"0")&amp;" more"),"")</f>
        <v/>
      </c>
    </row>
    <row r="13">
      <c r="E13">
        <f>IFERROR(D13*1.15,"")</f>
        <v/>
      </c>
      <c r="G13">
        <f>IFERROR((F13*1.08)/36,"")</f>
        <v/>
      </c>
      <c r="H13">
        <f>IFERROR(G13*12,"")</f>
        <v/>
      </c>
      <c r="I13">
        <f>IFERROR(C13+E13,"")</f>
        <v/>
      </c>
      <c r="J13">
        <f>IFERROR(C13+H13,"")</f>
        <v/>
      </c>
      <c r="K13">
        <f>IFERROR(I13-J13,"")</f>
        <v/>
      </c>
      <c r="L13">
        <f>IFERROR(IF(K13&gt;0,"REPLACE - saves $"&amp;TEXT(K13,"0")&amp;" vs repairing","REPAIR - replacing costs $"&amp;TEXT(ABS(K13),"0")&amp;" more"),"")</f>
        <v/>
      </c>
    </row>
    <row r="14">
      <c r="E14">
        <f>IFERROR(D14*1.15,"")</f>
        <v/>
      </c>
      <c r="G14">
        <f>IFERROR((F14*1.08)/36,"")</f>
        <v/>
      </c>
      <c r="H14">
        <f>IFERROR(G14*12,"")</f>
        <v/>
      </c>
      <c r="I14">
        <f>IFERROR(C14+E14,"")</f>
        <v/>
      </c>
      <c r="J14">
        <f>IFERROR(C14+H14,"")</f>
        <v/>
      </c>
      <c r="K14">
        <f>IFERROR(I14-J14,"")</f>
        <v/>
      </c>
      <c r="L14">
        <f>IFERROR(IF(K14&gt;0,"REPLACE - saves $"&amp;TEXT(K14,"0")&amp;" vs repairing","REPAIR - replacing costs $"&amp;TEXT(ABS(K14),"0")&amp;" more"),"")</f>
        <v/>
      </c>
    </row>
    <row r="15">
      <c r="E15">
        <f>IFERROR(D15*1.15,"")</f>
        <v/>
      </c>
      <c r="G15">
        <f>IFERROR((F15*1.08)/36,"")</f>
        <v/>
      </c>
      <c r="H15">
        <f>IFERROR(G15*12,"")</f>
        <v/>
      </c>
      <c r="I15">
        <f>IFERROR(C15+E15,"")</f>
        <v/>
      </c>
      <c r="J15">
        <f>IFERROR(C15+H15,"")</f>
        <v/>
      </c>
      <c r="K15">
        <f>IFERROR(I15-J15,"")</f>
        <v/>
      </c>
      <c r="L15">
        <f>IFERROR(IF(K15&gt;0,"REPLACE - saves $"&amp;TEXT(K15,"0")&amp;" vs repairing","REPAIR - replacing costs $"&amp;TEXT(ABS(K15),"0")&amp;" more"),"")</f>
        <v/>
      </c>
    </row>
    <row r="16">
      <c r="E16">
        <f>IFERROR(D16*1.15,"")</f>
        <v/>
      </c>
      <c r="G16">
        <f>IFERROR((F16*1.08)/36,"")</f>
        <v/>
      </c>
      <c r="H16">
        <f>IFERROR(G16*12,"")</f>
        <v/>
      </c>
      <c r="I16">
        <f>IFERROR(C16+E16,"")</f>
        <v/>
      </c>
      <c r="J16">
        <f>IFERROR(C16+H16,"")</f>
        <v/>
      </c>
      <c r="K16">
        <f>IFERROR(I16-J16,"")</f>
        <v/>
      </c>
      <c r="L16">
        <f>IFERROR(IF(K16&gt;0,"REPLACE - saves $"&amp;TEXT(K16,"0")&amp;" vs repairing","REPAIR - replacing costs $"&amp;TEXT(ABS(K16),"0")&amp;" more"),"")</f>
        <v/>
      </c>
    </row>
    <row r="17">
      <c r="E17">
        <f>IFERROR(D17*1.15,"")</f>
        <v/>
      </c>
      <c r="G17">
        <f>IFERROR((F17*1.08)/36,"")</f>
        <v/>
      </c>
      <c r="H17">
        <f>IFERROR(G17*12,"")</f>
        <v/>
      </c>
      <c r="I17">
        <f>IFERROR(C17+E17,"")</f>
        <v/>
      </c>
      <c r="J17">
        <f>IFERROR(C17+H17,"")</f>
        <v/>
      </c>
      <c r="K17">
        <f>IFERROR(I17-J17,"")</f>
        <v/>
      </c>
      <c r="L17">
        <f>IFERROR(IF(K17&gt;0,"REPLACE - saves $"&amp;TEXT(K17,"0")&amp;" vs repairing","REPAIR - replacing costs $"&amp;TEXT(ABS(K17),"0")&amp;" more"),"")</f>
        <v/>
      </c>
    </row>
    <row r="18">
      <c r="E18">
        <f>IFERROR(D18*1.15,"")</f>
        <v/>
      </c>
      <c r="G18">
        <f>IFERROR((F18*1.08)/36,"")</f>
        <v/>
      </c>
      <c r="H18">
        <f>IFERROR(G18*12,"")</f>
        <v/>
      </c>
      <c r="I18">
        <f>IFERROR(C18+E18,"")</f>
        <v/>
      </c>
      <c r="J18">
        <f>IFERROR(C18+H18,"")</f>
        <v/>
      </c>
      <c r="K18">
        <f>IFERROR(I18-J18,"")</f>
        <v/>
      </c>
      <c r="L18">
        <f>IFERROR(IF(K18&gt;0,"REPLACE - saves $"&amp;TEXT(K18,"0")&amp;" vs repairing","REPAIR - replacing costs $"&amp;TEXT(ABS(K18),"0")&amp;" more"),"")</f>
        <v/>
      </c>
    </row>
    <row r="19">
      <c r="E19">
        <f>IFERROR(D19*1.15,"")</f>
        <v/>
      </c>
      <c r="G19">
        <f>IFERROR((F19*1.08)/36,"")</f>
        <v/>
      </c>
      <c r="H19">
        <f>IFERROR(G19*12,"")</f>
        <v/>
      </c>
      <c r="I19">
        <f>IFERROR(C19+E19,"")</f>
        <v/>
      </c>
      <c r="J19">
        <f>IFERROR(C19+H19,"")</f>
        <v/>
      </c>
      <c r="K19">
        <f>IFERROR(I19-J19,"")</f>
        <v/>
      </c>
      <c r="L19">
        <f>IFERROR(IF(K19&gt;0,"REPLACE - saves $"&amp;TEXT(K19,"0")&amp;" vs repairing","REPAIR - replacing costs $"&amp;TEXT(ABS(K19),"0")&amp;" more"),"")</f>
        <v/>
      </c>
    </row>
    <row r="20">
      <c r="E20">
        <f>IFERROR(D20*1.15,"")</f>
        <v/>
      </c>
      <c r="G20">
        <f>IFERROR((F20*1.08)/36,"")</f>
        <v/>
      </c>
      <c r="H20">
        <f>IFERROR(G20*12,"")</f>
        <v/>
      </c>
      <c r="I20">
        <f>IFERROR(C20+E20,"")</f>
        <v/>
      </c>
      <c r="J20">
        <f>IFERROR(C20+H20,"")</f>
        <v/>
      </c>
      <c r="K20">
        <f>IFERROR(I20-J20,"")</f>
        <v/>
      </c>
      <c r="L20">
        <f>IFERROR(IF(K20&gt;0,"REPLACE - saves $"&amp;TEXT(K20,"0")&amp;" vs repairing","REPAIR - replacing costs $"&amp;TEXT(ABS(K20),"0")&amp;" more"),"")</f>
        <v/>
      </c>
    </row>
    <row r="21">
      <c r="E21">
        <f>IFERROR(D21*1.15,"")</f>
        <v/>
      </c>
      <c r="G21">
        <f>IFERROR((F21*1.08)/36,"")</f>
        <v/>
      </c>
      <c r="H21">
        <f>IFERROR(G21*12,"")</f>
        <v/>
      </c>
      <c r="I21">
        <f>IFERROR(C21+E21,"")</f>
        <v/>
      </c>
      <c r="J21">
        <f>IFERROR(C21+H21,"")</f>
        <v/>
      </c>
      <c r="K21">
        <f>IFERROR(I21-J21,"")</f>
        <v/>
      </c>
      <c r="L21">
        <f>IFERROR(IF(K21&gt;0,"REPLACE - saves $"&amp;TEXT(K21,"0")&amp;" vs repairing","REPAIR - replacing costs $"&amp;TEXT(ABS(K21),"0")&amp;" more"),"")</f>
        <v/>
      </c>
    </row>
    <row r="22">
      <c r="E22">
        <f>IFERROR(D22*1.15,"")</f>
        <v/>
      </c>
      <c r="G22">
        <f>IFERROR((F22*1.08)/36,"")</f>
        <v/>
      </c>
      <c r="H22">
        <f>IFERROR(G22*12,"")</f>
        <v/>
      </c>
      <c r="I22">
        <f>IFERROR(C22+E22,"")</f>
        <v/>
      </c>
      <c r="J22">
        <f>IFERROR(C22+H22,"")</f>
        <v/>
      </c>
      <c r="K22">
        <f>IFERROR(I22-J22,"")</f>
        <v/>
      </c>
      <c r="L22">
        <f>IFERROR(IF(K22&gt;0,"REPLACE - saves $"&amp;TEXT(K22,"0")&amp;" vs repairing","REPAIR - replacing costs $"&amp;TEXT(ABS(K22),"0")&amp;" more"),"")</f>
        <v/>
      </c>
    </row>
    <row r="23">
      <c r="E23">
        <f>IFERROR(D23*1.15,"")</f>
        <v/>
      </c>
      <c r="G23">
        <f>IFERROR((F23*1.08)/36,"")</f>
        <v/>
      </c>
      <c r="H23">
        <f>IFERROR(G23*12,"")</f>
        <v/>
      </c>
      <c r="I23">
        <f>IFERROR(C23+E23,"")</f>
        <v/>
      </c>
      <c r="J23">
        <f>IFERROR(C23+H23,"")</f>
        <v/>
      </c>
      <c r="K23">
        <f>IFERROR(I23-J23,"")</f>
        <v/>
      </c>
      <c r="L23">
        <f>IFERROR(IF(K23&gt;0,"REPLACE - saves $"&amp;TEXT(K23,"0")&amp;" vs repairing","REPAIR - replacing costs $"&amp;TEXT(ABS(K23),"0")&amp;" more"),"")</f>
        <v/>
      </c>
    </row>
    <row r="24">
      <c r="E24">
        <f>IFERROR(D24*1.15,"")</f>
        <v/>
      </c>
      <c r="G24">
        <f>IFERROR((F24*1.08)/36,"")</f>
        <v/>
      </c>
      <c r="H24">
        <f>IFERROR(G24*12,"")</f>
        <v/>
      </c>
      <c r="I24">
        <f>IFERROR(C24+E24,"")</f>
        <v/>
      </c>
      <c r="J24">
        <f>IFERROR(C24+H24,"")</f>
        <v/>
      </c>
      <c r="K24">
        <f>IFERROR(I24-J24,"")</f>
        <v/>
      </c>
      <c r="L24">
        <f>IFERROR(IF(K24&gt;0,"REPLACE - saves $"&amp;TEXT(K24,"0")&amp;" vs repairing","REPAIR - replacing costs $"&amp;TEXT(ABS(K24),"0")&amp;" more"),"")</f>
        <v/>
      </c>
    </row>
    <row r="25">
      <c r="E25">
        <f>IFERROR(D25*1.15,"")</f>
        <v/>
      </c>
      <c r="G25">
        <f>IFERROR((F25*1.08)/36,"")</f>
        <v/>
      </c>
      <c r="H25">
        <f>IFERROR(G25*12,"")</f>
        <v/>
      </c>
      <c r="I25">
        <f>IFERROR(C25+E25,"")</f>
        <v/>
      </c>
      <c r="J25">
        <f>IFERROR(C25+H25,"")</f>
        <v/>
      </c>
      <c r="K25">
        <f>IFERROR(I25-J25,"")</f>
        <v/>
      </c>
      <c r="L25">
        <f>IFERROR(IF(K25&gt;0,"REPLACE - saves $"&amp;TEXT(K25,"0")&amp;" vs repairing","REPAIR - replacing costs $"&amp;TEXT(ABS(K25),"0")&amp;" more"),"")</f>
        <v/>
      </c>
    </row>
  </sheetData>
  <mergeCells count="1">
    <mergeCell ref="A1:L3"/>
  </mergeCells>
  <conditionalFormatting sqref="K6:K25">
    <cfRule type="cellIs" priority="1" operator="greaterThan" dxfId="0">
      <formula>0</formula>
    </cfRule>
    <cfRule type="cellIs" priority="2" operator="lessThan" dxfId="2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3" customWidth="1" min="5" max="5"/>
    <col width="22" customWidth="1" min="6" max="6"/>
    <col width="17" customWidth="1" min="7" max="7"/>
    <col width="20" customWidth="1" min="8" max="8"/>
  </cols>
  <sheetData>
    <row r="1">
      <c r="A1" s="1" t="inlineStr">
        <is>
          <t>AI INSIGHT SUMMARY:
The HVAC system in Unit 4 has cost $2,340 in repairs over 18 months against a $4,800 replacement cost, crossing the repair-replace threshold — financing a new unit over 36 months is now cheaper than continued repairs. Unit 7's plumbing repair burn rate of $1,560/year is consuming 14% of its annual rent, flagging it as a profitability drain. Your portfolio's capital reserve is currently funded at 62% of the recommended target, leaving a $9,400 shortfall against systems approaching end-of-life. Recommended action this quarter: replace Unit 4 HVAC and increase reserve contributions by $185/month to cover the three roofs entering their replacement window within 24 months.</t>
        </is>
      </c>
    </row>
    <row r="2"/>
    <row r="3"/>
    <row r="4"/>
    <row r="5">
      <c r="A5" s="2" t="inlineStr">
        <is>
          <t>Unit</t>
        </is>
      </c>
      <c r="B5" s="2" t="inlineStr">
        <is>
          <t>Monthly Rent</t>
        </is>
      </c>
      <c r="C5" s="2" t="inlineStr">
        <is>
          <t>Annual Rent</t>
        </is>
      </c>
      <c r="D5" s="2" t="inlineStr">
        <is>
          <t>Annual Maintenance Cost</t>
        </is>
      </c>
      <c r="E5" s="2" t="inlineStr">
        <is>
          <t>Maintenance % of Rent</t>
        </is>
      </c>
      <c r="F5" s="2" t="inlineStr">
        <is>
          <t>Net Operating Income</t>
        </is>
      </c>
      <c r="G5" s="2" t="inlineStr">
        <is>
          <t>Profit Margin %</t>
        </is>
      </c>
      <c r="H5" s="2" t="inlineStr">
        <is>
          <t>Profitability Flag</t>
        </is>
      </c>
    </row>
    <row r="6">
      <c r="A6" t="inlineStr">
        <is>
          <t>Unit 4</t>
        </is>
      </c>
      <c r="B6" t="n">
        <v>1450</v>
      </c>
      <c r="C6">
        <f>IFERROR(B6*12,"")</f>
        <v/>
      </c>
      <c r="D6" t="n">
        <v>2340</v>
      </c>
      <c r="E6">
        <f>IFERROR(IF(C6=0,0,D6/C6),"")</f>
        <v/>
      </c>
      <c r="F6">
        <f>IFERROR(C6-D6,"")</f>
        <v/>
      </c>
      <c r="G6">
        <f>IFERROR(IF(C6=0,0,F6/C6),"")</f>
        <v/>
      </c>
      <c r="H6">
        <f>IFERROR(IF(E6&gt;0.15,"DRAIN - raise rent or replace systems",IF(E6&gt;0.08,"WATCH - maintenance creeping up","HEALTHY")),"")</f>
        <v/>
      </c>
    </row>
    <row r="7">
      <c r="A7" t="inlineStr">
        <is>
          <t>Unit 7</t>
        </is>
      </c>
      <c r="B7" t="n">
        <v>1100</v>
      </c>
      <c r="C7">
        <f>IFERROR(B7*12,"")</f>
        <v/>
      </c>
      <c r="D7" t="n">
        <v>1980</v>
      </c>
      <c r="E7">
        <f>IFERROR(IF(C7=0,0,D7/C7),"")</f>
        <v/>
      </c>
      <c r="F7">
        <f>IFERROR(C7-D7,"")</f>
        <v/>
      </c>
      <c r="G7">
        <f>IFERROR(IF(C7=0,0,F7/C7),"")</f>
        <v/>
      </c>
      <c r="H7">
        <f>IFERROR(IF(E7&gt;0.15,"DRAIN - raise rent or replace systems",IF(E7&gt;0.08,"WATCH - maintenance creeping up","HEALTHY")),"")</f>
        <v/>
      </c>
    </row>
    <row r="8">
      <c r="A8" t="inlineStr">
        <is>
          <t>Unit 2</t>
        </is>
      </c>
      <c r="B8" t="n">
        <v>1600</v>
      </c>
      <c r="C8">
        <f>IFERROR(B8*12,"")</f>
        <v/>
      </c>
      <c r="D8" t="n">
        <v>3100</v>
      </c>
      <c r="E8">
        <f>IFERROR(IF(C8=0,0,D8/C8),"")</f>
        <v/>
      </c>
      <c r="F8">
        <f>IFERROR(C8-D8,"")</f>
        <v/>
      </c>
      <c r="G8">
        <f>IFERROR(IF(C8=0,0,F8/C8),"")</f>
        <v/>
      </c>
      <c r="H8">
        <f>IFERROR(IF(E8&gt;0.15,"DRAIN - raise rent or replace systems",IF(E8&gt;0.08,"WATCH - maintenance creeping up","HEALTHY")),"")</f>
        <v/>
      </c>
    </row>
    <row r="9">
      <c r="A9" t="inlineStr">
        <is>
          <t>Unit 9</t>
        </is>
      </c>
      <c r="B9" t="n">
        <v>1350</v>
      </c>
      <c r="C9">
        <f>IFERROR(B9*12,"")</f>
        <v/>
      </c>
      <c r="D9" t="n">
        <v>540</v>
      </c>
      <c r="E9">
        <f>IFERROR(IF(C9=0,0,D9/C9),"")</f>
        <v/>
      </c>
      <c r="F9">
        <f>IFERROR(C9-D9,"")</f>
        <v/>
      </c>
      <c r="G9">
        <f>IFERROR(IF(C9=0,0,F9/C9),"")</f>
        <v/>
      </c>
      <c r="H9">
        <f>IFERROR(IF(E9&gt;0.15,"DRAIN - raise rent or replace systems",IF(E9&gt;0.08,"WATCH - maintenance creeping up","HEALTHY")),"")</f>
        <v/>
      </c>
    </row>
    <row r="10">
      <c r="A10" t="inlineStr">
        <is>
          <t>Unit 3</t>
        </is>
      </c>
      <c r="B10" t="n">
        <v>1250</v>
      </c>
      <c r="C10">
        <f>IFERROR(B10*12,"")</f>
        <v/>
      </c>
      <c r="D10" t="n">
        <v>720</v>
      </c>
      <c r="E10">
        <f>IFERROR(IF(C10=0,0,D10/C10),"")</f>
        <v/>
      </c>
      <c r="F10">
        <f>IFERROR(C10-D10,"")</f>
        <v/>
      </c>
      <c r="G10">
        <f>IFERROR(IF(C10=0,0,F10/C10),"")</f>
        <v/>
      </c>
      <c r="H10">
        <f>IFERROR(IF(E10&gt;0.15,"DRAIN - raise rent or replace systems",IF(E10&gt;0.08,"WATCH - maintenance creeping up","HEALTHY")),"")</f>
        <v/>
      </c>
    </row>
    <row r="11">
      <c r="C11">
        <f>IFERROR(B11*12,"")</f>
        <v/>
      </c>
      <c r="E11">
        <f>IFERROR(IF(C11=0,0,D11/C11),"")</f>
        <v/>
      </c>
      <c r="F11">
        <f>IFERROR(C11-D11,"")</f>
        <v/>
      </c>
      <c r="G11">
        <f>IFERROR(IF(C11=0,0,F11/C11),"")</f>
        <v/>
      </c>
      <c r="H11">
        <f>IFERROR(IF(E11&gt;0.15,"DRAIN - raise rent or replace systems",IF(E11&gt;0.08,"WATCH - maintenance creeping up","HEALTHY")),"")</f>
        <v/>
      </c>
    </row>
    <row r="12">
      <c r="C12">
        <f>IFERROR(B12*12,"")</f>
        <v/>
      </c>
      <c r="E12">
        <f>IFERROR(IF(C12=0,0,D12/C12),"")</f>
        <v/>
      </c>
      <c r="F12">
        <f>IFERROR(C12-D12,"")</f>
        <v/>
      </c>
      <c r="G12">
        <f>IFERROR(IF(C12=0,0,F12/C12),"")</f>
        <v/>
      </c>
      <c r="H12">
        <f>IFERROR(IF(E12&gt;0.15,"DRAIN - raise rent or replace systems",IF(E12&gt;0.08,"WATCH - maintenance creeping up","HEALTHY")),"")</f>
        <v/>
      </c>
    </row>
    <row r="13">
      <c r="C13">
        <f>IFERROR(B13*12,"")</f>
        <v/>
      </c>
      <c r="E13">
        <f>IFERROR(IF(C13=0,0,D13/C13),"")</f>
        <v/>
      </c>
      <c r="F13">
        <f>IFERROR(C13-D13,"")</f>
        <v/>
      </c>
      <c r="G13">
        <f>IFERROR(IF(C13=0,0,F13/C13),"")</f>
        <v/>
      </c>
      <c r="H13">
        <f>IFERROR(IF(E13&gt;0.15,"DRAIN - raise rent or replace systems",IF(E13&gt;0.08,"WATCH - maintenance creeping up","HEALTHY")),"")</f>
        <v/>
      </c>
    </row>
    <row r="14">
      <c r="C14">
        <f>IFERROR(B14*12,"")</f>
        <v/>
      </c>
      <c r="E14">
        <f>IFERROR(IF(C14=0,0,D14/C14),"")</f>
        <v/>
      </c>
      <c r="F14">
        <f>IFERROR(C14-D14,"")</f>
        <v/>
      </c>
      <c r="G14">
        <f>IFERROR(IF(C14=0,0,F14/C14),"")</f>
        <v/>
      </c>
      <c r="H14">
        <f>IFERROR(IF(E14&gt;0.15,"DRAIN - raise rent or replace systems",IF(E14&gt;0.08,"WATCH - maintenance creeping up","HEALTHY")),"")</f>
        <v/>
      </c>
    </row>
    <row r="15">
      <c r="C15">
        <f>IFERROR(B15*12,"")</f>
        <v/>
      </c>
      <c r="E15">
        <f>IFERROR(IF(C15=0,0,D15/C15),"")</f>
        <v/>
      </c>
      <c r="F15">
        <f>IFERROR(C15-D15,"")</f>
        <v/>
      </c>
      <c r="G15">
        <f>IFERROR(IF(C15=0,0,F15/C15),"")</f>
        <v/>
      </c>
      <c r="H15">
        <f>IFERROR(IF(E15&gt;0.15,"DRAIN - raise rent or replace systems",IF(E15&gt;0.08,"WATCH - maintenance creeping up","HEALTHY")),"")</f>
        <v/>
      </c>
    </row>
    <row r="16">
      <c r="C16">
        <f>IFERROR(B16*12,"")</f>
        <v/>
      </c>
      <c r="E16">
        <f>IFERROR(IF(C16=0,0,D16/C16),"")</f>
        <v/>
      </c>
      <c r="F16">
        <f>IFERROR(C16-D16,"")</f>
        <v/>
      </c>
      <c r="G16">
        <f>IFERROR(IF(C16=0,0,F16/C16),"")</f>
        <v/>
      </c>
      <c r="H16">
        <f>IFERROR(IF(E16&gt;0.15,"DRAIN - raise rent or replace systems",IF(E16&gt;0.08,"WATCH - maintenance creeping up","HEALTHY")),"")</f>
        <v/>
      </c>
    </row>
    <row r="17">
      <c r="C17">
        <f>IFERROR(B17*12,"")</f>
        <v/>
      </c>
      <c r="E17">
        <f>IFERROR(IF(C17=0,0,D17/C17),"")</f>
        <v/>
      </c>
      <c r="F17">
        <f>IFERROR(C17-D17,"")</f>
        <v/>
      </c>
      <c r="G17">
        <f>IFERROR(IF(C17=0,0,F17/C17),"")</f>
        <v/>
      </c>
      <c r="H17">
        <f>IFERROR(IF(E17&gt;0.15,"DRAIN - raise rent or replace systems",IF(E17&gt;0.08,"WATCH - maintenance creeping up","HEALTHY")),"")</f>
        <v/>
      </c>
    </row>
    <row r="18">
      <c r="C18">
        <f>IFERROR(B18*12,"")</f>
        <v/>
      </c>
      <c r="E18">
        <f>IFERROR(IF(C18=0,0,D18/C18),"")</f>
        <v/>
      </c>
      <c r="F18">
        <f>IFERROR(C18-D18,"")</f>
        <v/>
      </c>
      <c r="G18">
        <f>IFERROR(IF(C18=0,0,F18/C18),"")</f>
        <v/>
      </c>
      <c r="H18">
        <f>IFERROR(IF(E18&gt;0.15,"DRAIN - raise rent or replace systems",IF(E18&gt;0.08,"WATCH - maintenance creeping up","HEALTHY")),"")</f>
        <v/>
      </c>
    </row>
    <row r="19">
      <c r="C19">
        <f>IFERROR(B19*12,"")</f>
        <v/>
      </c>
      <c r="E19">
        <f>IFERROR(IF(C19=0,0,D19/C19),"")</f>
        <v/>
      </c>
      <c r="F19">
        <f>IFERROR(C19-D19,"")</f>
        <v/>
      </c>
      <c r="G19">
        <f>IFERROR(IF(C19=0,0,F19/C19),"")</f>
        <v/>
      </c>
      <c r="H19">
        <f>IFERROR(IF(E19&gt;0.15,"DRAIN - raise rent or replace systems",IF(E19&gt;0.08,"WATCH - maintenance creeping up","HEALTHY")),"")</f>
        <v/>
      </c>
    </row>
    <row r="20">
      <c r="C20">
        <f>IFERROR(B20*12,"")</f>
        <v/>
      </c>
      <c r="E20">
        <f>IFERROR(IF(C20=0,0,D20/C20),"")</f>
        <v/>
      </c>
      <c r="F20">
        <f>IFERROR(C20-D20,"")</f>
        <v/>
      </c>
      <c r="G20">
        <f>IFERROR(IF(C20=0,0,F20/C20),"")</f>
        <v/>
      </c>
      <c r="H20">
        <f>IFERROR(IF(E20&gt;0.15,"DRAIN - raise rent or replace systems",IF(E20&gt;0.08,"WATCH - maintenance creeping up","HEALTHY")),"")</f>
        <v/>
      </c>
    </row>
    <row r="21">
      <c r="C21">
        <f>IFERROR(B21*12,"")</f>
        <v/>
      </c>
      <c r="E21">
        <f>IFERROR(IF(C21=0,0,D21/C21),"")</f>
        <v/>
      </c>
      <c r="F21">
        <f>IFERROR(C21-D21,"")</f>
        <v/>
      </c>
      <c r="G21">
        <f>IFERROR(IF(C21=0,0,F21/C21),"")</f>
        <v/>
      </c>
      <c r="H21">
        <f>IFERROR(IF(E21&gt;0.15,"DRAIN - raise rent or replace systems",IF(E21&gt;0.08,"WATCH - maintenance creeping up","HEALTHY")),"")</f>
        <v/>
      </c>
    </row>
    <row r="22">
      <c r="C22">
        <f>IFERROR(B22*12,"")</f>
        <v/>
      </c>
      <c r="E22">
        <f>IFERROR(IF(C22=0,0,D22/C22),"")</f>
        <v/>
      </c>
      <c r="F22">
        <f>IFERROR(C22-D22,"")</f>
        <v/>
      </c>
      <c r="G22">
        <f>IFERROR(IF(C22=0,0,F22/C22),"")</f>
        <v/>
      </c>
      <c r="H22">
        <f>IFERROR(IF(E22&gt;0.15,"DRAIN - raise rent or replace systems",IF(E22&gt;0.08,"WATCH - maintenance creeping up","HEALTHY")),"")</f>
        <v/>
      </c>
    </row>
    <row r="23">
      <c r="C23">
        <f>IFERROR(B23*12,"")</f>
        <v/>
      </c>
      <c r="E23">
        <f>IFERROR(IF(C23=0,0,D23/C23),"")</f>
        <v/>
      </c>
      <c r="F23">
        <f>IFERROR(C23-D23,"")</f>
        <v/>
      </c>
      <c r="G23">
        <f>IFERROR(IF(C23=0,0,F23/C23),"")</f>
        <v/>
      </c>
      <c r="H23">
        <f>IFERROR(IF(E23&gt;0.15,"DRAIN - raise rent or replace systems",IF(E23&gt;0.08,"WATCH - maintenance creeping up","HEALTHY")),"")</f>
        <v/>
      </c>
    </row>
    <row r="24">
      <c r="C24">
        <f>IFERROR(B24*12,"")</f>
        <v/>
      </c>
      <c r="E24">
        <f>IFERROR(IF(C24=0,0,D24/C24),"")</f>
        <v/>
      </c>
      <c r="F24">
        <f>IFERROR(C24-D24,"")</f>
        <v/>
      </c>
      <c r="G24">
        <f>IFERROR(IF(C24=0,0,F24/C24),"")</f>
        <v/>
      </c>
      <c r="H24">
        <f>IFERROR(IF(E24&gt;0.15,"DRAIN - raise rent or replace systems",IF(E24&gt;0.08,"WATCH - maintenance creeping up","HEALTHY")),"")</f>
        <v/>
      </c>
    </row>
    <row r="25">
      <c r="C25">
        <f>IFERROR(B25*12,"")</f>
        <v/>
      </c>
      <c r="E25">
        <f>IFERROR(IF(C25=0,0,D25/C25),"")</f>
        <v/>
      </c>
      <c r="F25">
        <f>IFERROR(C25-D25,"")</f>
        <v/>
      </c>
      <c r="G25">
        <f>IFERROR(IF(C25=0,0,F25/C25),"")</f>
        <v/>
      </c>
      <c r="H25">
        <f>IFERROR(IF(E25&gt;0.15,"DRAIN - raise rent or replace systems",IF(E25&gt;0.08,"WATCH - maintenance creeping up","HEALTHY")),"")</f>
        <v/>
      </c>
    </row>
  </sheetData>
  <mergeCells count="1">
    <mergeCell ref="A1:H3"/>
  </mergeCells>
  <conditionalFormatting sqref="E6:E25">
    <cfRule type="cellIs" priority="1" operator="greaterThan" dxfId="0">
      <formula>0.15</formula>
    </cfRule>
    <cfRule type="cellIs" priority="2" operator="greaterThan" dxfId="1">
      <formula>0.08</formula>
    </cfRule>
  </conditionalFormatting>
  <conditionalFormatting sqref="G6:G25">
    <cfRule type="cellIs" priority="3" operator="greaterThan" dxfId="2">
      <formula>0.85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16" customWidth="1" min="4" max="4"/>
    <col width="17" customWidth="1" min="5" max="5"/>
    <col width="23" customWidth="1" min="6" max="6"/>
    <col width="25" customWidth="1" min="7" max="7"/>
    <col width="19" customWidth="1" min="8" max="8"/>
    <col width="29" customWidth="1" min="9" max="9"/>
    <col width="16" customWidth="1" min="10" max="10"/>
  </cols>
  <sheetData>
    <row r="1">
      <c r="A1" s="1" t="inlineStr">
        <is>
          <t>AI INSIGHT SUMMARY:
The HVAC system in Unit 4 has cost $2,340 in repairs over 18 months against a $4,800 replacement cost, crossing the repair-replace threshold — financing a new unit over 36 months is now cheaper than continued repairs. Unit 7's plumbing repair burn rate of $1,560/year is consuming 14% of its annual rent, flagging it as a profitability drain. Your portfolio's capital reserve is currently funded at 62% of the recommended target, leaving a $9,400 shortfall against systems approaching end-of-life. Recommended action this quarter: replace Unit 4 HVAC and increase reserve contributions by $185/month to cover the three roofs entering their replacement window within 24 months.</t>
        </is>
      </c>
    </row>
    <row r="2"/>
    <row r="3"/>
    <row r="4"/>
    <row r="5">
      <c r="A5" s="2" t="inlineStr">
        <is>
          <t>System</t>
        </is>
      </c>
      <c r="B5" s="2" t="inlineStr">
        <is>
          <t>Replacement Cost</t>
        </is>
      </c>
      <c r="C5" s="2" t="inlineStr">
        <is>
          <t>Expected Lifespan Years</t>
        </is>
      </c>
      <c r="D5" s="2" t="inlineStr">
        <is>
          <t>Age Years</t>
        </is>
      </c>
      <c r="E5" s="2" t="inlineStr">
        <is>
          <t>Remaining Years</t>
        </is>
      </c>
      <c r="F5" s="2" t="inlineStr">
        <is>
          <t>Annual Reserve Needed</t>
        </is>
      </c>
      <c r="G5" s="2" t="inlineStr">
        <is>
          <t>Current Reserve Balance</t>
        </is>
      </c>
      <c r="H5" s="2" t="inlineStr">
        <is>
          <t>Reserve Funding %</t>
        </is>
      </c>
      <c r="I5" s="2" t="inlineStr">
        <is>
          <t>Monthly Contribution Needed</t>
        </is>
      </c>
      <c r="J5" s="2" t="inlineStr">
        <is>
          <t>Reserve Status</t>
        </is>
      </c>
    </row>
    <row r="6">
      <c r="A6" t="inlineStr">
        <is>
          <t>HVAC Unit 4</t>
        </is>
      </c>
      <c r="B6" t="n">
        <v>4800</v>
      </c>
      <c r="C6" t="n">
        <v>15</v>
      </c>
      <c r="D6" t="n">
        <v>14</v>
      </c>
      <c r="E6">
        <f>IFERROR(MAX(C6-D6,0),"")</f>
        <v/>
      </c>
      <c r="F6">
        <f>IFERROR(B6/C6,"")</f>
        <v/>
      </c>
      <c r="G6" t="n">
        <v>2800</v>
      </c>
      <c r="H6">
        <f>IFERROR(IF(B6=0,0,G6/(F6*D6)),"")</f>
        <v/>
      </c>
      <c r="I6">
        <f>IFERROR(IF(E6=0,(B6-G6)/12,(B6-G6)/(E6*12)),"")</f>
        <v/>
      </c>
      <c r="J6">
        <f>IFERROR(IF(H6&gt;=0.9,"FUNDED",IF(H6&gt;=0.6,"UNDERFUNDED - increase contributions","CRITICAL - shortfall at replacement")),"")</f>
        <v/>
      </c>
    </row>
    <row r="7">
      <c r="A7" t="inlineStr">
        <is>
          <t>Roof Unit 2</t>
        </is>
      </c>
      <c r="B7" t="n">
        <v>9000</v>
      </c>
      <c r="C7" t="n">
        <v>25</v>
      </c>
      <c r="D7" t="n">
        <v>23</v>
      </c>
      <c r="E7">
        <f>IFERROR(MAX(C7-D7,0),"")</f>
        <v/>
      </c>
      <c r="F7">
        <f>IFERROR(B7/C7,"")</f>
        <v/>
      </c>
      <c r="G7" t="n">
        <v>5200</v>
      </c>
      <c r="H7">
        <f>IFERROR(IF(B7=0,0,G7/(F7*D7)),"")</f>
        <v/>
      </c>
      <c r="I7">
        <f>IFERROR(IF(E7=0,(B7-G7)/12,(B7-G7)/(E7*12)),"")</f>
        <v/>
      </c>
      <c r="J7">
        <f>IFERROR(IF(H7&gt;=0.9,"FUNDED",IF(H7&gt;=0.6,"UNDERFUNDED - increase contributions","CRITICAL - shortfall at replacement")),"")</f>
        <v/>
      </c>
    </row>
    <row r="8">
      <c r="A8" t="inlineStr">
        <is>
          <t>Water Heater Unit 3</t>
        </is>
      </c>
      <c r="B8" t="n">
        <v>1400</v>
      </c>
      <c r="C8" t="n">
        <v>10</v>
      </c>
      <c r="D8" t="n">
        <v>8</v>
      </c>
      <c r="E8">
        <f>IFERROR(MAX(C8-D8,0),"")</f>
        <v/>
      </c>
      <c r="F8">
        <f>IFERROR(B8/C8,"")</f>
        <v/>
      </c>
      <c r="G8" t="n">
        <v>900</v>
      </c>
      <c r="H8">
        <f>IFERROR(IF(B8=0,0,G8/(F8*D8)),"")</f>
        <v/>
      </c>
      <c r="I8">
        <f>IFERROR(IF(E8=0,(B8-G8)/12,(B8-G8)/(E8*12)),"")</f>
        <v/>
      </c>
      <c r="J8">
        <f>IFERROR(IF(H8&gt;=0.9,"FUNDED",IF(H8&gt;=0.6,"UNDERFUNDED - increase contributions","CRITICAL - shortfall at replacement")),"")</f>
        <v/>
      </c>
    </row>
    <row r="9">
      <c r="A9" t="inlineStr">
        <is>
          <t>HVAC Unit 9</t>
        </is>
      </c>
      <c r="B9" t="n">
        <v>4600</v>
      </c>
      <c r="C9" t="n">
        <v>15</v>
      </c>
      <c r="D9" t="n">
        <v>1</v>
      </c>
      <c r="E9">
        <f>IFERROR(MAX(C9-D9,0),"")</f>
        <v/>
      </c>
      <c r="F9">
        <f>IFERROR(B9/C9,"")</f>
        <v/>
      </c>
      <c r="G9" t="n">
        <v>320</v>
      </c>
      <c r="H9">
        <f>IFERROR(IF(B9=0,0,G9/(F9*D9)),"")</f>
        <v/>
      </c>
      <c r="I9">
        <f>IFERROR(IF(E9=0,(B9-G9)/12,(B9-G9)/(E9*12)),"")</f>
        <v/>
      </c>
      <c r="J9">
        <f>IFERROR(IF(H9&gt;=0.9,"FUNDED",IF(H9&gt;=0.6,"UNDERFUNDED - increase contributions","CRITICAL - shortfall at replacement")),"")</f>
        <v/>
      </c>
    </row>
    <row r="10">
      <c r="A10" t="inlineStr">
        <is>
          <t>Plumbing Unit 7</t>
        </is>
      </c>
      <c r="B10" t="n">
        <v>3200</v>
      </c>
      <c r="C10" t="n">
        <v>30</v>
      </c>
      <c r="D10" t="n">
        <v>24</v>
      </c>
      <c r="E10">
        <f>IFERROR(MAX(C10-D10,0),"")</f>
        <v/>
      </c>
      <c r="F10">
        <f>IFERROR(B10/C10,"")</f>
        <v/>
      </c>
      <c r="G10" t="n">
        <v>1100</v>
      </c>
      <c r="H10">
        <f>IFERROR(IF(B10=0,0,G10/(F10*D10)),"")</f>
        <v/>
      </c>
      <c r="I10">
        <f>IFERROR(IF(E10=0,(B10-G10)/12,(B10-G10)/(E10*12)),"")</f>
        <v/>
      </c>
      <c r="J10">
        <f>IFERROR(IF(H10&gt;=0.9,"FUNDED",IF(H10&gt;=0.6,"UNDERFUNDED - increase contributions","CRITICAL - shortfall at replacement")),"")</f>
        <v/>
      </c>
    </row>
    <row r="11">
      <c r="E11">
        <f>IFERROR(MAX(C11-D11,0),"")</f>
        <v/>
      </c>
      <c r="F11">
        <f>IFERROR(B11/C11,"")</f>
        <v/>
      </c>
      <c r="H11">
        <f>IFERROR(IF(B11=0,0,G11/(F11*D11)),"")</f>
        <v/>
      </c>
      <c r="I11">
        <f>IFERROR(IF(E11=0,(B11-G11)/12,(B11-G11)/(E11*12)),"")</f>
        <v/>
      </c>
      <c r="J11">
        <f>IFERROR(IF(H11&gt;=0.9,"FUNDED",IF(H11&gt;=0.6,"UNDERFUNDED - increase contributions","CRITICAL - shortfall at replacement")),"")</f>
        <v/>
      </c>
    </row>
    <row r="12">
      <c r="E12">
        <f>IFERROR(MAX(C12-D12,0),"")</f>
        <v/>
      </c>
      <c r="F12">
        <f>IFERROR(B12/C12,"")</f>
        <v/>
      </c>
      <c r="H12">
        <f>IFERROR(IF(B12=0,0,G12/(F12*D12)),"")</f>
        <v/>
      </c>
      <c r="I12">
        <f>IFERROR(IF(E12=0,(B12-G12)/12,(B12-G12)/(E12*12)),"")</f>
        <v/>
      </c>
      <c r="J12">
        <f>IFERROR(IF(H12&gt;=0.9,"FUNDED",IF(H12&gt;=0.6,"UNDERFUNDED - increase contributions","CRITICAL - shortfall at replacement")),"")</f>
        <v/>
      </c>
    </row>
    <row r="13">
      <c r="E13">
        <f>IFERROR(MAX(C13-D13,0),"")</f>
        <v/>
      </c>
      <c r="F13">
        <f>IFERROR(B13/C13,"")</f>
        <v/>
      </c>
      <c r="H13">
        <f>IFERROR(IF(B13=0,0,G13/(F13*D13)),"")</f>
        <v/>
      </c>
      <c r="I13">
        <f>IFERROR(IF(E13=0,(B13-G13)/12,(B13-G13)/(E13*12)),"")</f>
        <v/>
      </c>
      <c r="J13">
        <f>IFERROR(IF(H13&gt;=0.9,"FUNDED",IF(H13&gt;=0.6,"UNDERFUNDED - increase contributions","CRITICAL - shortfall at replacement")),"")</f>
        <v/>
      </c>
    </row>
    <row r="14">
      <c r="E14">
        <f>IFERROR(MAX(C14-D14,0),"")</f>
        <v/>
      </c>
      <c r="F14">
        <f>IFERROR(B14/C14,"")</f>
        <v/>
      </c>
      <c r="H14">
        <f>IFERROR(IF(B14=0,0,G14/(F14*D14)),"")</f>
        <v/>
      </c>
      <c r="I14">
        <f>IFERROR(IF(E14=0,(B14-G14)/12,(B14-G14)/(E14*12)),"")</f>
        <v/>
      </c>
      <c r="J14">
        <f>IFERROR(IF(H14&gt;=0.9,"FUNDED",IF(H14&gt;=0.6,"UNDERFUNDED - increase contributions","CRITICAL - shortfall at replacement")),"")</f>
        <v/>
      </c>
    </row>
    <row r="15">
      <c r="E15">
        <f>IFERROR(MAX(C15-D15,0),"")</f>
        <v/>
      </c>
      <c r="F15">
        <f>IFERROR(B15/C15,"")</f>
        <v/>
      </c>
      <c r="H15">
        <f>IFERROR(IF(B15=0,0,G15/(F15*D15)),"")</f>
        <v/>
      </c>
      <c r="I15">
        <f>IFERROR(IF(E15=0,(B15-G15)/12,(B15-G15)/(E15*12)),"")</f>
        <v/>
      </c>
      <c r="J15">
        <f>IFERROR(IF(H15&gt;=0.9,"FUNDED",IF(H15&gt;=0.6,"UNDERFUNDED - increase contributions","CRITICAL - shortfall at replacement")),"")</f>
        <v/>
      </c>
    </row>
    <row r="16">
      <c r="E16">
        <f>IFERROR(MAX(C16-D16,0),"")</f>
        <v/>
      </c>
      <c r="F16">
        <f>IFERROR(B16/C16,"")</f>
        <v/>
      </c>
      <c r="H16">
        <f>IFERROR(IF(B16=0,0,G16/(F16*D16)),"")</f>
        <v/>
      </c>
      <c r="I16">
        <f>IFERROR(IF(E16=0,(B16-G16)/12,(B16-G16)/(E16*12)),"")</f>
        <v/>
      </c>
      <c r="J16">
        <f>IFERROR(IF(H16&gt;=0.9,"FUNDED",IF(H16&gt;=0.6,"UNDERFUNDED - increase contributions","CRITICAL - shortfall at replacement")),"")</f>
        <v/>
      </c>
    </row>
    <row r="17">
      <c r="E17">
        <f>IFERROR(MAX(C17-D17,0),"")</f>
        <v/>
      </c>
      <c r="F17">
        <f>IFERROR(B17/C17,"")</f>
        <v/>
      </c>
      <c r="H17">
        <f>IFERROR(IF(B17=0,0,G17/(F17*D17)),"")</f>
        <v/>
      </c>
      <c r="I17">
        <f>IFERROR(IF(E17=0,(B17-G17)/12,(B17-G17)/(E17*12)),"")</f>
        <v/>
      </c>
      <c r="J17">
        <f>IFERROR(IF(H17&gt;=0.9,"FUNDED",IF(H17&gt;=0.6,"UNDERFUNDED - increase contributions","CRITICAL - shortfall at replacement")),"")</f>
        <v/>
      </c>
    </row>
    <row r="18">
      <c r="E18">
        <f>IFERROR(MAX(C18-D18,0),"")</f>
        <v/>
      </c>
      <c r="F18">
        <f>IFERROR(B18/C18,"")</f>
        <v/>
      </c>
      <c r="H18">
        <f>IFERROR(IF(B18=0,0,G18/(F18*D18)),"")</f>
        <v/>
      </c>
      <c r="I18">
        <f>IFERROR(IF(E18=0,(B18-G18)/12,(B18-G18)/(E18*12)),"")</f>
        <v/>
      </c>
      <c r="J18">
        <f>IFERROR(IF(H18&gt;=0.9,"FUNDED",IF(H18&gt;=0.6,"UNDERFUNDED - increase contributions","CRITICAL - shortfall at replacement")),"")</f>
        <v/>
      </c>
    </row>
    <row r="19">
      <c r="E19">
        <f>IFERROR(MAX(C19-D19,0),"")</f>
        <v/>
      </c>
      <c r="F19">
        <f>IFERROR(B19/C19,"")</f>
        <v/>
      </c>
      <c r="H19">
        <f>IFERROR(IF(B19=0,0,G19/(F19*D19)),"")</f>
        <v/>
      </c>
      <c r="I19">
        <f>IFERROR(IF(E19=0,(B19-G19)/12,(B19-G19)/(E19*12)),"")</f>
        <v/>
      </c>
      <c r="J19">
        <f>IFERROR(IF(H19&gt;=0.9,"FUNDED",IF(H19&gt;=0.6,"UNDERFUNDED - increase contributions","CRITICAL - shortfall at replacement")),"")</f>
        <v/>
      </c>
    </row>
    <row r="20">
      <c r="E20">
        <f>IFERROR(MAX(C20-D20,0),"")</f>
        <v/>
      </c>
      <c r="F20">
        <f>IFERROR(B20/C20,"")</f>
        <v/>
      </c>
      <c r="H20">
        <f>IFERROR(IF(B20=0,0,G20/(F20*D20)),"")</f>
        <v/>
      </c>
      <c r="I20">
        <f>IFERROR(IF(E20=0,(B20-G20)/12,(B20-G20)/(E20*12)),"")</f>
        <v/>
      </c>
      <c r="J20">
        <f>IFERROR(IF(H20&gt;=0.9,"FUNDED",IF(H20&gt;=0.6,"UNDERFUNDED - increase contributions","CRITICAL - shortfall at replacement")),"")</f>
        <v/>
      </c>
    </row>
    <row r="21">
      <c r="E21">
        <f>IFERROR(MAX(C21-D21,0),"")</f>
        <v/>
      </c>
      <c r="F21">
        <f>IFERROR(B21/C21,"")</f>
        <v/>
      </c>
      <c r="H21">
        <f>IFERROR(IF(B21=0,0,G21/(F21*D21)),"")</f>
        <v/>
      </c>
      <c r="I21">
        <f>IFERROR(IF(E21=0,(B21-G21)/12,(B21-G21)/(E21*12)),"")</f>
        <v/>
      </c>
      <c r="J21">
        <f>IFERROR(IF(H21&gt;=0.9,"FUNDED",IF(H21&gt;=0.6,"UNDERFUNDED - increase contributions","CRITICAL - shortfall at replacement")),"")</f>
        <v/>
      </c>
    </row>
    <row r="22">
      <c r="E22">
        <f>IFERROR(MAX(C22-D22,0),"")</f>
        <v/>
      </c>
      <c r="F22">
        <f>IFERROR(B22/C22,"")</f>
        <v/>
      </c>
      <c r="H22">
        <f>IFERROR(IF(B22=0,0,G22/(F22*D22)),"")</f>
        <v/>
      </c>
      <c r="I22">
        <f>IFERROR(IF(E22=0,(B22-G22)/12,(B22-G22)/(E22*12)),"")</f>
        <v/>
      </c>
      <c r="J22">
        <f>IFERROR(IF(H22&gt;=0.9,"FUNDED",IF(H22&gt;=0.6,"UNDERFUNDED - increase contributions","CRITICAL - shortfall at replacement")),"")</f>
        <v/>
      </c>
    </row>
    <row r="23">
      <c r="E23">
        <f>IFERROR(MAX(C23-D23,0),"")</f>
        <v/>
      </c>
      <c r="F23">
        <f>IFERROR(B23/C23,"")</f>
        <v/>
      </c>
      <c r="H23">
        <f>IFERROR(IF(B23=0,0,G23/(F23*D23)),"")</f>
        <v/>
      </c>
      <c r="I23">
        <f>IFERROR(IF(E23=0,(B23-G23)/12,(B23-G23)/(E23*12)),"")</f>
        <v/>
      </c>
      <c r="J23">
        <f>IFERROR(IF(H23&gt;=0.9,"FUNDED",IF(H23&gt;=0.6,"UNDERFUNDED - increase contributions","CRITICAL - shortfall at replacement")),"")</f>
        <v/>
      </c>
    </row>
    <row r="24">
      <c r="E24">
        <f>IFERROR(MAX(C24-D24,0),"")</f>
        <v/>
      </c>
      <c r="F24">
        <f>IFERROR(B24/C24,"")</f>
        <v/>
      </c>
      <c r="H24">
        <f>IFERROR(IF(B24=0,0,G24/(F24*D24)),"")</f>
        <v/>
      </c>
      <c r="I24">
        <f>IFERROR(IF(E24=0,(B24-G24)/12,(B24-G24)/(E24*12)),"")</f>
        <v/>
      </c>
      <c r="J24">
        <f>IFERROR(IF(H24&gt;=0.9,"FUNDED",IF(H24&gt;=0.6,"UNDERFUNDED - increase contributions","CRITICAL - shortfall at replacement")),"")</f>
        <v/>
      </c>
    </row>
    <row r="25">
      <c r="E25">
        <f>IFERROR(MAX(C25-D25,0),"")</f>
        <v/>
      </c>
      <c r="F25">
        <f>IFERROR(B25/C25,"")</f>
        <v/>
      </c>
      <c r="H25">
        <f>IFERROR(IF(B25=0,0,G25/(F25*D25)),"")</f>
        <v/>
      </c>
      <c r="I25">
        <f>IFERROR(IF(E25=0,(B25-G25)/12,(B25-G25)/(E25*12)),"")</f>
        <v/>
      </c>
      <c r="J25">
        <f>IFERROR(IF(H25&gt;=0.9,"FUNDED",IF(H25&gt;=0.6,"UNDERFUNDED - increase contributions","CRITICAL - shortfall at replacement")),"")</f>
        <v/>
      </c>
    </row>
  </sheetData>
  <mergeCells count="1">
    <mergeCell ref="A1:J3"/>
  </mergeCells>
  <conditionalFormatting sqref="H6:H25">
    <cfRule type="cellIs" priority="1" operator="lessThan" dxfId="0">
      <formula>0.6</formula>
    </cfRule>
    <cfRule type="cellIs" priority="2" operator="lessThan" dxfId="1">
      <formula>0.9</formula>
    </cfRule>
    <cfRule type="cellIs" priority="3" operator="greaterThan" dxfId="2">
      <formula>0.9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2026-06-29T02:38:14Z</dcterms:created>
  <dcterms:modified xsi:type="dcterms:W3CDTF">2026-06-29T03:44:04Z</dcterms:modified>
</cp:coreProperties>
</file>