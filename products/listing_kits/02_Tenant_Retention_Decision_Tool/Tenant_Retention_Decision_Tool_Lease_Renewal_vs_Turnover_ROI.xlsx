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 Scorecard" sheetId="1" state="visible" r:id="rId1"/>
    <sheet name="Retention vs Turnover ROI" sheetId="2" state="visible" r:id="rId2"/>
    <sheet name="Deposit Adequ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2" customWidth="1" min="6" max="6"/>
    <col width="24" customWidth="1" min="7" max="7"/>
    <col width="25" customWidth="1" min="8" max="8"/>
    <col width="16" customWidth="1" min="9" max="9"/>
    <col width="21" customWidth="1" min="10" max="10"/>
    <col width="19" customWidth="1" min="11" max="11"/>
    <col width="16" customWidth="1" min="12" max="12"/>
    <col width="19" customWidth="1" min="13" max="13"/>
    <col width="16" customWidth="1" min="14" max="14"/>
    <col width="19" customWidth="1" min="15" max="15"/>
    <col width="16" customWidth="1" min="16" max="16"/>
    <col width="16" customWidth="1" min="17" max="17"/>
  </cols>
  <sheetData>
    <row r="1">
      <c r="A1" s="1" t="inlineStr">
        <is>
          <t>AI INSIGHT SUMMARY:
Tenant in Unit 2B has paid late 4 of 12 months and submitted 7 maintenance requests against your portfolio average of 2.1, making them 31% costlier to service than your typical tenant. Their annual net profit is $4,920 versus your portfolio top performer in Unit 1A at $9,180 — a 46% gap. The retention vs. turnover model estimates keeping 2B at current rent costs you $1,840/year in excess service, while a full turnover would cost $4,300 in vacancy and re-leasing — so the financially superior move is a $200 rent increase, not eviction. Unit 4C's deposit of $1,200 no longer covers its risk-adjusted exposure of $1,950; collect an additional $750 before renewing. Begin renewal conversations 90 days before each lease-end date flagged in yellow below.</t>
        </is>
      </c>
    </row>
    <row r="2"/>
    <row r="3"/>
    <row r="4"/>
    <row r="5">
      <c r="A5" s="2" t="inlineStr">
        <is>
          <t>Unit</t>
        </is>
      </c>
      <c r="B5" s="2" t="inlineStr">
        <is>
          <t>Tenant Name</t>
        </is>
      </c>
      <c r="C5" s="2" t="inlineStr">
        <is>
          <t>Monthly Rent</t>
        </is>
      </c>
      <c r="D5" s="2" t="inlineStr">
        <is>
          <t>Months Tracked</t>
        </is>
      </c>
      <c r="E5" s="2" t="inlineStr">
        <is>
          <t>Months Paid Late</t>
        </is>
      </c>
      <c r="F5" s="2" t="inlineStr">
        <is>
          <t>Maintenance Requests</t>
        </is>
      </c>
      <c r="G5" s="2" t="inlineStr">
        <is>
          <t>Portfolio Avg Requests</t>
        </is>
      </c>
      <c r="H5" s="2" t="inlineStr">
        <is>
          <t>Annual Maintenance Cost</t>
        </is>
      </c>
      <c r="I5" s="2" t="inlineStr">
        <is>
          <t>Lease End Date</t>
        </is>
      </c>
      <c r="J5" s="2" t="inlineStr">
        <is>
          <t>Late Payment Rate %</t>
        </is>
      </c>
      <c r="K5" s="2" t="inlineStr">
        <is>
          <t>Maintenance Index</t>
        </is>
      </c>
      <c r="L5" s="2" t="inlineStr">
        <is>
          <t>Annual Rent</t>
        </is>
      </c>
      <c r="M5" s="2" t="inlineStr">
        <is>
          <t>Annual Net Profit</t>
        </is>
      </c>
      <c r="N5" s="2" t="inlineStr">
        <is>
          <t>Risk Score</t>
        </is>
      </c>
      <c r="O5" s="2" t="inlineStr">
        <is>
          <t>Days To Lease End</t>
        </is>
      </c>
      <c r="P5" s="2" t="inlineStr">
        <is>
          <t>Renewal Flag</t>
        </is>
      </c>
      <c r="Q5" s="2" t="inlineStr">
        <is>
          <t>Tenant Verdict</t>
        </is>
      </c>
    </row>
    <row r="6">
      <c r="A6" t="inlineStr">
        <is>
          <t>1A</t>
        </is>
      </c>
      <c r="B6" t="inlineStr">
        <is>
          <t>M. Reyes</t>
        </is>
      </c>
      <c r="C6" t="n">
        <v>1530</v>
      </c>
      <c r="D6" t="n">
        <v>12</v>
      </c>
      <c r="E6" t="n">
        <v>0</v>
      </c>
      <c r="F6" t="n">
        <v>2</v>
      </c>
      <c r="G6" t="n">
        <v>2.1</v>
      </c>
      <c r="H6" t="n">
        <v>1100</v>
      </c>
      <c r="I6" t="inlineStr">
        <is>
          <t>2025-09-30</t>
        </is>
      </c>
      <c r="J6">
        <f>IFERROR(IF(D6=0,0,ROUND(E6/D6*100,1)),"")</f>
        <v/>
      </c>
      <c r="K6">
        <f>IFERROR(IF(G6=0,0,ROUND(F6/G6,2)),"")</f>
        <v/>
      </c>
      <c r="L6">
        <f>IFERROR(C6*12,"")</f>
        <v/>
      </c>
      <c r="M6">
        <f>IFERROR(L6-H6,"")</f>
        <v/>
      </c>
      <c r="N6">
        <f>IFERROR(ROUND(J6*0.6+K6*15,1),"")</f>
        <v/>
      </c>
      <c r="O6">
        <f>IFERROR(I6-TODAY(),"")</f>
        <v/>
      </c>
      <c r="P6">
        <f>IFERROR(IF(O6&lt;0,"Expired",IF(O6&lt;=90,"Act Now - 90 Day Window",IF(O6&lt;=180,"Plan Ahead","Stable"))),"")</f>
        <v/>
      </c>
      <c r="Q6">
        <f>IFERROR(IF(N6&gt;40,"Do Not Renew At Current Rate - Raise Rent Or Turn Over",IF(N6&gt;20,"Renew With Caution - Increase Rent","Renew - Reliable Tenant")),"")</f>
        <v/>
      </c>
    </row>
    <row r="7">
      <c r="A7" t="inlineStr">
        <is>
          <t>2B</t>
        </is>
      </c>
      <c r="B7" t="inlineStr">
        <is>
          <t>J. Carter</t>
        </is>
      </c>
      <c r="C7" t="n">
        <v>1450</v>
      </c>
      <c r="D7" t="n">
        <v>12</v>
      </c>
      <c r="E7" t="n">
        <v>4</v>
      </c>
      <c r="F7" t="n">
        <v>7</v>
      </c>
      <c r="G7" t="n">
        <v>2.1</v>
      </c>
      <c r="H7" t="n">
        <v>3480</v>
      </c>
      <c r="I7" t="inlineStr">
        <is>
          <t>2025-07-15</t>
        </is>
      </c>
      <c r="J7">
        <f>IFERROR(IF(D7=0,0,ROUND(E7/D7*100,1)),"")</f>
        <v/>
      </c>
      <c r="K7">
        <f>IFERROR(IF(G7=0,0,ROUND(F7/G7,2)),"")</f>
        <v/>
      </c>
      <c r="L7">
        <f>IFERROR(C7*12,"")</f>
        <v/>
      </c>
      <c r="M7">
        <f>IFERROR(L7-H7,"")</f>
        <v/>
      </c>
      <c r="N7">
        <f>IFERROR(ROUND(J7*0.6+K7*15,1),"")</f>
        <v/>
      </c>
      <c r="O7">
        <f>IFERROR(I7-TODAY(),"")</f>
        <v/>
      </c>
      <c r="P7">
        <f>IFERROR(IF(O7&lt;0,"Expired",IF(O7&lt;=90,"Act Now - 90 Day Window",IF(O7&lt;=180,"Plan Ahead","Stable"))),"")</f>
        <v/>
      </c>
      <c r="Q7">
        <f>IFERROR(IF(N7&gt;40,"Do Not Renew At Current Rate - Raise Rent Or Turn Over",IF(N7&gt;20,"Renew With Caution - Increase Rent","Renew - Reliable Tenant")),"")</f>
        <v/>
      </c>
    </row>
    <row r="8">
      <c r="A8" t="inlineStr">
        <is>
          <t>3C</t>
        </is>
      </c>
      <c r="B8" t="inlineStr">
        <is>
          <t>L. Nguyen</t>
        </is>
      </c>
      <c r="C8" t="n">
        <v>1600</v>
      </c>
      <c r="D8" t="n">
        <v>12</v>
      </c>
      <c r="E8" t="n">
        <v>1</v>
      </c>
      <c r="F8" t="n">
        <v>3</v>
      </c>
      <c r="G8" t="n">
        <v>2.1</v>
      </c>
      <c r="H8" t="n">
        <v>1400</v>
      </c>
      <c r="I8" t="inlineStr">
        <is>
          <t>2026-01-31</t>
        </is>
      </c>
      <c r="J8">
        <f>IFERROR(IF(D8=0,0,ROUND(E8/D8*100,1)),"")</f>
        <v/>
      </c>
      <c r="K8">
        <f>IFERROR(IF(G8=0,0,ROUND(F8/G8,2)),"")</f>
        <v/>
      </c>
      <c r="L8">
        <f>IFERROR(C8*12,"")</f>
        <v/>
      </c>
      <c r="M8">
        <f>IFERROR(L8-H8,"")</f>
        <v/>
      </c>
      <c r="N8">
        <f>IFERROR(ROUND(J8*0.6+K8*15,1),"")</f>
        <v/>
      </c>
      <c r="O8">
        <f>IFERROR(I8-TODAY(),"")</f>
        <v/>
      </c>
      <c r="P8">
        <f>IFERROR(IF(O8&lt;0,"Expired",IF(O8&lt;=90,"Act Now - 90 Day Window",IF(O8&lt;=180,"Plan Ahead","Stable"))),"")</f>
        <v/>
      </c>
      <c r="Q8">
        <f>IFERROR(IF(N8&gt;40,"Do Not Renew At Current Rate - Raise Rent Or Turn Over",IF(N8&gt;20,"Renew With Caution - Increase Rent","Renew - Reliable Tenant")),"")</f>
        <v/>
      </c>
    </row>
    <row r="9">
      <c r="A9" t="inlineStr">
        <is>
          <t>4C</t>
        </is>
      </c>
      <c r="B9" t="inlineStr">
        <is>
          <t>D. Okafor</t>
        </is>
      </c>
      <c r="C9" t="n">
        <v>1380</v>
      </c>
      <c r="D9" t="n">
        <v>10</v>
      </c>
      <c r="E9" t="n">
        <v>3</v>
      </c>
      <c r="F9" t="n">
        <v>5</v>
      </c>
      <c r="G9" t="n">
        <v>2.1</v>
      </c>
      <c r="H9" t="n">
        <v>2600</v>
      </c>
      <c r="I9" t="inlineStr">
        <is>
          <t>2025-08-01</t>
        </is>
      </c>
      <c r="J9">
        <f>IFERROR(IF(D9=0,0,ROUND(E9/D9*100,1)),"")</f>
        <v/>
      </c>
      <c r="K9">
        <f>IFERROR(IF(G9=0,0,ROUND(F9/G9,2)),"")</f>
        <v/>
      </c>
      <c r="L9">
        <f>IFERROR(C9*12,"")</f>
        <v/>
      </c>
      <c r="M9">
        <f>IFERROR(L9-H9,"")</f>
        <v/>
      </c>
      <c r="N9">
        <f>IFERROR(ROUND(J9*0.6+K9*15,1),"")</f>
        <v/>
      </c>
      <c r="O9">
        <f>IFERROR(I9-TODAY(),"")</f>
        <v/>
      </c>
      <c r="P9">
        <f>IFERROR(IF(O9&lt;0,"Expired",IF(O9&lt;=90,"Act Now - 90 Day Window",IF(O9&lt;=180,"Plan Ahead","Stable"))),"")</f>
        <v/>
      </c>
      <c r="Q9">
        <f>IFERROR(IF(N9&gt;40,"Do Not Renew At Current Rate - Raise Rent Or Turn Over",IF(N9&gt;20,"Renew With Caution - Increase Rent","Renew - Reliable Tenant")),"")</f>
        <v/>
      </c>
    </row>
    <row r="10">
      <c r="A10" t="inlineStr">
        <is>
          <t>5A</t>
        </is>
      </c>
      <c r="B10" t="inlineStr">
        <is>
          <t>S. Patel</t>
        </is>
      </c>
      <c r="C10" t="n">
        <v>1700</v>
      </c>
      <c r="D10" t="n">
        <v>12</v>
      </c>
      <c r="E10" t="n">
        <v>0</v>
      </c>
      <c r="F10" t="n">
        <v>1</v>
      </c>
      <c r="G10" t="n">
        <v>2.1</v>
      </c>
      <c r="H10" t="n">
        <v>900</v>
      </c>
      <c r="I10" t="inlineStr">
        <is>
          <t>2026-03-15</t>
        </is>
      </c>
      <c r="J10">
        <f>IFERROR(IF(D10=0,0,ROUND(E10/D10*100,1)),"")</f>
        <v/>
      </c>
      <c r="K10">
        <f>IFERROR(IF(G10=0,0,ROUND(F10/G10,2)),"")</f>
        <v/>
      </c>
      <c r="L10">
        <f>IFERROR(C10*12,"")</f>
        <v/>
      </c>
      <c r="M10">
        <f>IFERROR(L10-H10,"")</f>
        <v/>
      </c>
      <c r="N10">
        <f>IFERROR(ROUND(J10*0.6+K10*15,1),"")</f>
        <v/>
      </c>
      <c r="O10">
        <f>IFERROR(I10-TODAY(),"")</f>
        <v/>
      </c>
      <c r="P10">
        <f>IFERROR(IF(O10&lt;0,"Expired",IF(O10&lt;=90,"Act Now - 90 Day Window",IF(O10&lt;=180,"Plan Ahead","Stable"))),"")</f>
        <v/>
      </c>
      <c r="Q10">
        <f>IFERROR(IF(N10&gt;40,"Do Not Renew At Current Rate - Raise Rent Or Turn Over",IF(N10&gt;20,"Renew With Caution - Increase Rent","Renew - Reliable Tenant")),"")</f>
        <v/>
      </c>
    </row>
    <row r="11">
      <c r="J11">
        <f>IFERROR(IF(D11=0,0,ROUND(E11/D11*100,1)),"")</f>
        <v/>
      </c>
      <c r="K11">
        <f>IFERROR(IF(G11=0,0,ROUND(F11/G11,2)),"")</f>
        <v/>
      </c>
      <c r="L11">
        <f>IFERROR(C11*12,"")</f>
        <v/>
      </c>
      <c r="M11">
        <f>IFERROR(L11-H11,"")</f>
        <v/>
      </c>
      <c r="N11">
        <f>IFERROR(ROUND(J11*0.6+K11*15,1),"")</f>
        <v/>
      </c>
      <c r="O11">
        <f>IFERROR(I11-TODAY(),"")</f>
        <v/>
      </c>
      <c r="P11">
        <f>IFERROR(IF(O11&lt;0,"Expired",IF(O11&lt;=90,"Act Now - 90 Day Window",IF(O11&lt;=180,"Plan Ahead","Stable"))),"")</f>
        <v/>
      </c>
      <c r="Q11">
        <f>IFERROR(IF(N11&gt;40,"Do Not Renew At Current Rate - Raise Rent Or Turn Over",IF(N11&gt;20,"Renew With Caution - Increase Rent","Renew - Reliable Tenant")),"")</f>
        <v/>
      </c>
    </row>
    <row r="12">
      <c r="J12">
        <f>IFERROR(IF(D12=0,0,ROUND(E12/D12*100,1)),"")</f>
        <v/>
      </c>
      <c r="K12">
        <f>IFERROR(IF(G12=0,0,ROUND(F12/G12,2)),"")</f>
        <v/>
      </c>
      <c r="L12">
        <f>IFERROR(C12*12,"")</f>
        <v/>
      </c>
      <c r="M12">
        <f>IFERROR(L12-H12,"")</f>
        <v/>
      </c>
      <c r="N12">
        <f>IFERROR(ROUND(J12*0.6+K12*15,1),"")</f>
        <v/>
      </c>
      <c r="O12">
        <f>IFERROR(I12-TODAY(),"")</f>
        <v/>
      </c>
      <c r="P12">
        <f>IFERROR(IF(O12&lt;0,"Expired",IF(O12&lt;=90,"Act Now - 90 Day Window",IF(O12&lt;=180,"Plan Ahead","Stable"))),"")</f>
        <v/>
      </c>
      <c r="Q12">
        <f>IFERROR(IF(N12&gt;40,"Do Not Renew At Current Rate - Raise Rent Or Turn Over",IF(N12&gt;20,"Renew With Caution - Increase Rent","Renew - Reliable Tenant")),"")</f>
        <v/>
      </c>
    </row>
    <row r="13">
      <c r="J13">
        <f>IFERROR(IF(D13=0,0,ROUND(E13/D13*100,1)),"")</f>
        <v/>
      </c>
      <c r="K13">
        <f>IFERROR(IF(G13=0,0,ROUND(F13/G13,2)),"")</f>
        <v/>
      </c>
      <c r="L13">
        <f>IFERROR(C13*12,"")</f>
        <v/>
      </c>
      <c r="M13">
        <f>IFERROR(L13-H13,"")</f>
        <v/>
      </c>
      <c r="N13">
        <f>IFERROR(ROUND(J13*0.6+K13*15,1),"")</f>
        <v/>
      </c>
      <c r="O13">
        <f>IFERROR(I13-TODAY(),"")</f>
        <v/>
      </c>
      <c r="P13">
        <f>IFERROR(IF(O13&lt;0,"Expired",IF(O13&lt;=90,"Act Now - 90 Day Window",IF(O13&lt;=180,"Plan Ahead","Stable"))),"")</f>
        <v/>
      </c>
      <c r="Q13">
        <f>IFERROR(IF(N13&gt;40,"Do Not Renew At Current Rate - Raise Rent Or Turn Over",IF(N13&gt;20,"Renew With Caution - Increase Rent","Renew - Reliable Tenant")),"")</f>
        <v/>
      </c>
    </row>
    <row r="14">
      <c r="J14">
        <f>IFERROR(IF(D14=0,0,ROUND(E14/D14*100,1)),"")</f>
        <v/>
      </c>
      <c r="K14">
        <f>IFERROR(IF(G14=0,0,ROUND(F14/G14,2)),"")</f>
        <v/>
      </c>
      <c r="L14">
        <f>IFERROR(C14*12,"")</f>
        <v/>
      </c>
      <c r="M14">
        <f>IFERROR(L14-H14,"")</f>
        <v/>
      </c>
      <c r="N14">
        <f>IFERROR(ROUND(J14*0.6+K14*15,1),"")</f>
        <v/>
      </c>
      <c r="O14">
        <f>IFERROR(I14-TODAY(),"")</f>
        <v/>
      </c>
      <c r="P14">
        <f>IFERROR(IF(O14&lt;0,"Expired",IF(O14&lt;=90,"Act Now - 90 Day Window",IF(O14&lt;=180,"Plan Ahead","Stable"))),"")</f>
        <v/>
      </c>
      <c r="Q14">
        <f>IFERROR(IF(N14&gt;40,"Do Not Renew At Current Rate - Raise Rent Or Turn Over",IF(N14&gt;20,"Renew With Caution - Increase Rent","Renew - Reliable Tenant")),"")</f>
        <v/>
      </c>
    </row>
    <row r="15">
      <c r="J15">
        <f>IFERROR(IF(D15=0,0,ROUND(E15/D15*100,1)),"")</f>
        <v/>
      </c>
      <c r="K15">
        <f>IFERROR(IF(G15=0,0,ROUND(F15/G15,2)),"")</f>
        <v/>
      </c>
      <c r="L15">
        <f>IFERROR(C15*12,"")</f>
        <v/>
      </c>
      <c r="M15">
        <f>IFERROR(L15-H15,"")</f>
        <v/>
      </c>
      <c r="N15">
        <f>IFERROR(ROUND(J15*0.6+K15*15,1),"")</f>
        <v/>
      </c>
      <c r="O15">
        <f>IFERROR(I15-TODAY(),"")</f>
        <v/>
      </c>
      <c r="P15">
        <f>IFERROR(IF(O15&lt;0,"Expired",IF(O15&lt;=90,"Act Now - 90 Day Window",IF(O15&lt;=180,"Plan Ahead","Stable"))),"")</f>
        <v/>
      </c>
      <c r="Q15">
        <f>IFERROR(IF(N15&gt;40,"Do Not Renew At Current Rate - Raise Rent Or Turn Over",IF(N15&gt;20,"Renew With Caution - Increase Rent","Renew - Reliable Tenant")),"")</f>
        <v/>
      </c>
    </row>
    <row r="16">
      <c r="J16">
        <f>IFERROR(IF(D16=0,0,ROUND(E16/D16*100,1)),"")</f>
        <v/>
      </c>
      <c r="K16">
        <f>IFERROR(IF(G16=0,0,ROUND(F16/G16,2)),"")</f>
        <v/>
      </c>
      <c r="L16">
        <f>IFERROR(C16*12,"")</f>
        <v/>
      </c>
      <c r="M16">
        <f>IFERROR(L16-H16,"")</f>
        <v/>
      </c>
      <c r="N16">
        <f>IFERROR(ROUND(J16*0.6+K16*15,1),"")</f>
        <v/>
      </c>
      <c r="O16">
        <f>IFERROR(I16-TODAY(),"")</f>
        <v/>
      </c>
      <c r="P16">
        <f>IFERROR(IF(O16&lt;0,"Expired",IF(O16&lt;=90,"Act Now - 90 Day Window",IF(O16&lt;=180,"Plan Ahead","Stable"))),"")</f>
        <v/>
      </c>
      <c r="Q16">
        <f>IFERROR(IF(N16&gt;40,"Do Not Renew At Current Rate - Raise Rent Or Turn Over",IF(N16&gt;20,"Renew With Caution - Increase Rent","Renew - Reliable Tenant")),"")</f>
        <v/>
      </c>
    </row>
    <row r="17">
      <c r="J17">
        <f>IFERROR(IF(D17=0,0,ROUND(E17/D17*100,1)),"")</f>
        <v/>
      </c>
      <c r="K17">
        <f>IFERROR(IF(G17=0,0,ROUND(F17/G17,2)),"")</f>
        <v/>
      </c>
      <c r="L17">
        <f>IFERROR(C17*12,"")</f>
        <v/>
      </c>
      <c r="M17">
        <f>IFERROR(L17-H17,"")</f>
        <v/>
      </c>
      <c r="N17">
        <f>IFERROR(ROUND(J17*0.6+K17*15,1),"")</f>
        <v/>
      </c>
      <c r="O17">
        <f>IFERROR(I17-TODAY(),"")</f>
        <v/>
      </c>
      <c r="P17">
        <f>IFERROR(IF(O17&lt;0,"Expired",IF(O17&lt;=90,"Act Now - 90 Day Window",IF(O17&lt;=180,"Plan Ahead","Stable"))),"")</f>
        <v/>
      </c>
      <c r="Q17">
        <f>IFERROR(IF(N17&gt;40,"Do Not Renew At Current Rate - Raise Rent Or Turn Over",IF(N17&gt;20,"Renew With Caution - Increase Rent","Renew - Reliable Tenant")),"")</f>
        <v/>
      </c>
    </row>
    <row r="18">
      <c r="J18">
        <f>IFERROR(IF(D18=0,0,ROUND(E18/D18*100,1)),"")</f>
        <v/>
      </c>
      <c r="K18">
        <f>IFERROR(IF(G18=0,0,ROUND(F18/G18,2)),"")</f>
        <v/>
      </c>
      <c r="L18">
        <f>IFERROR(C18*12,"")</f>
        <v/>
      </c>
      <c r="M18">
        <f>IFERROR(L18-H18,"")</f>
        <v/>
      </c>
      <c r="N18">
        <f>IFERROR(ROUND(J18*0.6+K18*15,1),"")</f>
        <v/>
      </c>
      <c r="O18">
        <f>IFERROR(I18-TODAY(),"")</f>
        <v/>
      </c>
      <c r="P18">
        <f>IFERROR(IF(O18&lt;0,"Expired",IF(O18&lt;=90,"Act Now - 90 Day Window",IF(O18&lt;=180,"Plan Ahead","Stable"))),"")</f>
        <v/>
      </c>
      <c r="Q18">
        <f>IFERROR(IF(N18&gt;40,"Do Not Renew At Current Rate - Raise Rent Or Turn Over",IF(N18&gt;20,"Renew With Caution - Increase Rent","Renew - Reliable Tenant")),"")</f>
        <v/>
      </c>
    </row>
    <row r="19">
      <c r="J19">
        <f>IFERROR(IF(D19=0,0,ROUND(E19/D19*100,1)),"")</f>
        <v/>
      </c>
      <c r="K19">
        <f>IFERROR(IF(G19=0,0,ROUND(F19/G19,2)),"")</f>
        <v/>
      </c>
      <c r="L19">
        <f>IFERROR(C19*12,"")</f>
        <v/>
      </c>
      <c r="M19">
        <f>IFERROR(L19-H19,"")</f>
        <v/>
      </c>
      <c r="N19">
        <f>IFERROR(ROUND(J19*0.6+K19*15,1),"")</f>
        <v/>
      </c>
      <c r="O19">
        <f>IFERROR(I19-TODAY(),"")</f>
        <v/>
      </c>
      <c r="P19">
        <f>IFERROR(IF(O19&lt;0,"Expired",IF(O19&lt;=90,"Act Now - 90 Day Window",IF(O19&lt;=180,"Plan Ahead","Stable"))),"")</f>
        <v/>
      </c>
      <c r="Q19">
        <f>IFERROR(IF(N19&gt;40,"Do Not Renew At Current Rate - Raise Rent Or Turn Over",IF(N19&gt;20,"Renew With Caution - Increase Rent","Renew - Reliable Tenant")),"")</f>
        <v/>
      </c>
    </row>
    <row r="20">
      <c r="J20">
        <f>IFERROR(IF(D20=0,0,ROUND(E20/D20*100,1)),"")</f>
        <v/>
      </c>
      <c r="K20">
        <f>IFERROR(IF(G20=0,0,ROUND(F20/G20,2)),"")</f>
        <v/>
      </c>
      <c r="L20">
        <f>IFERROR(C20*12,"")</f>
        <v/>
      </c>
      <c r="M20">
        <f>IFERROR(L20-H20,"")</f>
        <v/>
      </c>
      <c r="N20">
        <f>IFERROR(ROUND(J20*0.6+K20*15,1),"")</f>
        <v/>
      </c>
      <c r="O20">
        <f>IFERROR(I20-TODAY(),"")</f>
        <v/>
      </c>
      <c r="P20">
        <f>IFERROR(IF(O20&lt;0,"Expired",IF(O20&lt;=90,"Act Now - 90 Day Window",IF(O20&lt;=180,"Plan Ahead","Stable"))),"")</f>
        <v/>
      </c>
      <c r="Q20">
        <f>IFERROR(IF(N20&gt;40,"Do Not Renew At Current Rate - Raise Rent Or Turn Over",IF(N20&gt;20,"Renew With Caution - Increase Rent","Renew - Reliable Tenant")),"")</f>
        <v/>
      </c>
    </row>
    <row r="21">
      <c r="J21">
        <f>IFERROR(IF(D21=0,0,ROUND(E21/D21*100,1)),"")</f>
        <v/>
      </c>
      <c r="K21">
        <f>IFERROR(IF(G21=0,0,ROUND(F21/G21,2)),"")</f>
        <v/>
      </c>
      <c r="L21">
        <f>IFERROR(C21*12,"")</f>
        <v/>
      </c>
      <c r="M21">
        <f>IFERROR(L21-H21,"")</f>
        <v/>
      </c>
      <c r="N21">
        <f>IFERROR(ROUND(J21*0.6+K21*15,1),"")</f>
        <v/>
      </c>
      <c r="O21">
        <f>IFERROR(I21-TODAY(),"")</f>
        <v/>
      </c>
      <c r="P21">
        <f>IFERROR(IF(O21&lt;0,"Expired",IF(O21&lt;=90,"Act Now - 90 Day Window",IF(O21&lt;=180,"Plan Ahead","Stable"))),"")</f>
        <v/>
      </c>
      <c r="Q21">
        <f>IFERROR(IF(N21&gt;40,"Do Not Renew At Current Rate - Raise Rent Or Turn Over",IF(N21&gt;20,"Renew With Caution - Increase Rent","Renew - Reliable Tenant")),"")</f>
        <v/>
      </c>
    </row>
    <row r="22">
      <c r="J22">
        <f>IFERROR(IF(D22=0,0,ROUND(E22/D22*100,1)),"")</f>
        <v/>
      </c>
      <c r="K22">
        <f>IFERROR(IF(G22=0,0,ROUND(F22/G22,2)),"")</f>
        <v/>
      </c>
      <c r="L22">
        <f>IFERROR(C22*12,"")</f>
        <v/>
      </c>
      <c r="M22">
        <f>IFERROR(L22-H22,"")</f>
        <v/>
      </c>
      <c r="N22">
        <f>IFERROR(ROUND(J22*0.6+K22*15,1),"")</f>
        <v/>
      </c>
      <c r="O22">
        <f>IFERROR(I22-TODAY(),"")</f>
        <v/>
      </c>
      <c r="P22">
        <f>IFERROR(IF(O22&lt;0,"Expired",IF(O22&lt;=90,"Act Now - 90 Day Window",IF(O22&lt;=180,"Plan Ahead","Stable"))),"")</f>
        <v/>
      </c>
      <c r="Q22">
        <f>IFERROR(IF(N22&gt;40,"Do Not Renew At Current Rate - Raise Rent Or Turn Over",IF(N22&gt;20,"Renew With Caution - Increase Rent","Renew - Reliable Tenant")),"")</f>
        <v/>
      </c>
    </row>
    <row r="23">
      <c r="J23">
        <f>IFERROR(IF(D23=0,0,ROUND(E23/D23*100,1)),"")</f>
        <v/>
      </c>
      <c r="K23">
        <f>IFERROR(IF(G23=0,0,ROUND(F23/G23,2)),"")</f>
        <v/>
      </c>
      <c r="L23">
        <f>IFERROR(C23*12,"")</f>
        <v/>
      </c>
      <c r="M23">
        <f>IFERROR(L23-H23,"")</f>
        <v/>
      </c>
      <c r="N23">
        <f>IFERROR(ROUND(J23*0.6+K23*15,1),"")</f>
        <v/>
      </c>
      <c r="O23">
        <f>IFERROR(I23-TODAY(),"")</f>
        <v/>
      </c>
      <c r="P23">
        <f>IFERROR(IF(O23&lt;0,"Expired",IF(O23&lt;=90,"Act Now - 90 Day Window",IF(O23&lt;=180,"Plan Ahead","Stable"))),"")</f>
        <v/>
      </c>
      <c r="Q23">
        <f>IFERROR(IF(N23&gt;40,"Do Not Renew At Current Rate - Raise Rent Or Turn Over",IF(N23&gt;20,"Renew With Caution - Increase Rent","Renew - Reliable Tenant")),"")</f>
        <v/>
      </c>
    </row>
    <row r="24">
      <c r="J24">
        <f>IFERROR(IF(D24=0,0,ROUND(E24/D24*100,1)),"")</f>
        <v/>
      </c>
      <c r="K24">
        <f>IFERROR(IF(G24=0,0,ROUND(F24/G24,2)),"")</f>
        <v/>
      </c>
      <c r="L24">
        <f>IFERROR(C24*12,"")</f>
        <v/>
      </c>
      <c r="M24">
        <f>IFERROR(L24-H24,"")</f>
        <v/>
      </c>
      <c r="N24">
        <f>IFERROR(ROUND(J24*0.6+K24*15,1),"")</f>
        <v/>
      </c>
      <c r="O24">
        <f>IFERROR(I24-TODAY(),"")</f>
        <v/>
      </c>
      <c r="P24">
        <f>IFERROR(IF(O24&lt;0,"Expired",IF(O24&lt;=90,"Act Now - 90 Day Window",IF(O24&lt;=180,"Plan Ahead","Stable"))),"")</f>
        <v/>
      </c>
      <c r="Q24">
        <f>IFERROR(IF(N24&gt;40,"Do Not Renew At Current Rate - Raise Rent Or Turn Over",IF(N24&gt;20,"Renew With Caution - Increase Rent","Renew - Reliable Tenant")),"")</f>
        <v/>
      </c>
    </row>
    <row r="25">
      <c r="J25">
        <f>IFERROR(IF(D25=0,0,ROUND(E25/D25*100,1)),"")</f>
        <v/>
      </c>
      <c r="K25">
        <f>IFERROR(IF(G25=0,0,ROUND(F25/G25,2)),"")</f>
        <v/>
      </c>
      <c r="L25">
        <f>IFERROR(C25*12,"")</f>
        <v/>
      </c>
      <c r="M25">
        <f>IFERROR(L25-H25,"")</f>
        <v/>
      </c>
      <c r="N25">
        <f>IFERROR(ROUND(J25*0.6+K25*15,1),"")</f>
        <v/>
      </c>
      <c r="O25">
        <f>IFERROR(I25-TODAY(),"")</f>
        <v/>
      </c>
      <c r="P25">
        <f>IFERROR(IF(O25&lt;0,"Expired",IF(O25&lt;=90,"Act Now - 90 Day Window",IF(O25&lt;=180,"Plan Ahead","Stable"))),"")</f>
        <v/>
      </c>
      <c r="Q25">
        <f>IFERROR(IF(N25&gt;40,"Do Not Renew At Current Rate - Raise Rent Or Turn Over",IF(N25&gt;20,"Renew With Caution - Increase Rent","Renew - Reliable Tenant")),"")</f>
        <v/>
      </c>
    </row>
  </sheetData>
  <mergeCells count="1">
    <mergeCell ref="A1:Q3"/>
  </mergeCells>
  <conditionalFormatting sqref="J6:J25">
    <cfRule type="cellIs" priority="1" operator="greaterThan" dxfId="0">
      <formula>25</formula>
    </cfRule>
    <cfRule type="cellIs" priority="2" operator="lessThan" dxfId="1">
      <formula>10</formula>
    </cfRule>
  </conditionalFormatting>
  <conditionalFormatting sqref="K6:K25">
    <cfRule type="cellIs" priority="3" operator="greaterThan" dxfId="0">
      <formula>2</formula>
    </cfRule>
  </conditionalFormatting>
  <conditionalFormatting sqref="N6:N25">
    <cfRule type="cellIs" priority="4" operator="greaterThan" dxfId="0">
      <formula>40</formula>
    </cfRule>
    <cfRule type="cellIs" priority="5" operator="lessThan" dxfId="1">
      <formula>20</formula>
    </cfRule>
  </conditionalFormatting>
  <conditionalFormatting sqref="O6:O25">
    <cfRule type="cellIs" priority="6" operator="lessThan" dxfId="2">
      <formula>90</formula>
    </cfRule>
  </conditionalFormatting>
  <conditionalFormatting sqref="M6:M25">
    <cfRule type="cellIs" priority="7" operator="lessThan" dxfId="2">
      <formula>6000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22" customWidth="1" min="5" max="5"/>
    <col width="17" customWidth="1" min="6" max="6"/>
    <col width="28" customWidth="1" min="7" max="7"/>
    <col width="16" customWidth="1" min="8" max="8"/>
    <col width="16" customWidth="1" min="9" max="9"/>
    <col width="21" customWidth="1" min="10" max="10"/>
    <col width="21" customWidth="1" min="11" max="11"/>
    <col width="18" customWidth="1" min="12" max="12"/>
    <col width="27" customWidth="1" min="13" max="13"/>
  </cols>
  <sheetData>
    <row r="1">
      <c r="A1" s="1" t="inlineStr">
        <is>
          <t>AI INSIGHT SUMMARY:
Tenant in Unit 2B has paid late 4 of 12 months and submitted 7 maintenance requests against your portfolio average of 2.1, making them 31% costlier to service than your typical tenant. Their annual net profit is $4,920 versus your portfolio top performer in Unit 1A at $9,180 — a 46% gap. The retention vs. turnover model estimates keeping 2B at current rent costs you $1,840/year in excess service, while a full turnover would cost $4,300 in vacancy and re-leasing — so the financially superior move is a $200 rent increase, not eviction. Unit 4C's deposit of $1,200 no longer covers its risk-adjusted exposure of $1,950; collect an additional $750 before renewing. Begin renewal conversations 90 days before each lease-end date flagged in yellow below.</t>
        </is>
      </c>
    </row>
    <row r="2"/>
    <row r="3"/>
    <row r="4"/>
    <row r="5">
      <c r="A5" s="2" t="inlineStr">
        <is>
          <t>Unit</t>
        </is>
      </c>
      <c r="B5" s="2" t="inlineStr">
        <is>
          <t>Monthly Rent</t>
        </is>
      </c>
      <c r="C5" s="2" t="inlineStr">
        <is>
          <t>Estimated Vacancy Days</t>
        </is>
      </c>
      <c r="D5" s="2" t="inlineStr">
        <is>
          <t>Cleaning Cost</t>
        </is>
      </c>
      <c r="E5" s="2" t="inlineStr">
        <is>
          <t>Repair Turnover Cost</t>
        </is>
      </c>
      <c r="F5" s="2" t="inlineStr">
        <is>
          <t>Re-Leasing Cost</t>
        </is>
      </c>
      <c r="G5" s="2" t="inlineStr">
        <is>
          <t>Excess Annual Service Cost</t>
        </is>
      </c>
      <c r="H5" s="2" t="inlineStr">
        <is>
          <t>Daily Rent</t>
        </is>
      </c>
      <c r="I5" s="2" t="inlineStr">
        <is>
          <t>Vacancy Loss</t>
        </is>
      </c>
      <c r="J5" s="2" t="inlineStr">
        <is>
          <t>Total Turnover Cost</t>
        </is>
      </c>
      <c r="K5" s="2" t="inlineStr">
        <is>
          <t>Annual Cost To Keep</t>
        </is>
      </c>
      <c r="L5" s="2" t="inlineStr">
        <is>
          <t>Recommended Path</t>
        </is>
      </c>
      <c r="M5" s="2" t="inlineStr">
        <is>
          <t>Suggested Rent Adjustment</t>
        </is>
      </c>
    </row>
    <row r="6">
      <c r="A6" t="inlineStr">
        <is>
          <t>1A</t>
        </is>
      </c>
      <c r="B6" t="n">
        <v>1530</v>
      </c>
      <c r="C6" t="n">
        <v>14</v>
      </c>
      <c r="D6" t="n">
        <v>350</v>
      </c>
      <c r="E6" t="n">
        <v>400</v>
      </c>
      <c r="F6" t="n">
        <v>600</v>
      </c>
      <c r="G6" t="n">
        <v>200</v>
      </c>
      <c r="H6">
        <f>IFERROR(ROUND(B6/30,2),"")</f>
        <v/>
      </c>
      <c r="I6">
        <f>IFERROR(H6*C6,"")</f>
        <v/>
      </c>
      <c r="J6">
        <f>IFERROR(I6+D6+E6+F6,"")</f>
        <v/>
      </c>
      <c r="K6">
        <f>IFERROR(G6,"")</f>
        <v/>
      </c>
      <c r="L6">
        <f>IFERROR(IF(K6&gt;J6,"Turn Over - Keeping Costs More Than Replacing",IF(K6&gt;J6*0.5,"Raise Rent To Offset Service Cost","Retain - Cheaper Than Turnover")),"")</f>
        <v/>
      </c>
      <c r="M6">
        <f>IFERROR(IF(K6&gt;J6*0.5,ROUND(G6/12,0),0),"")</f>
        <v/>
      </c>
    </row>
    <row r="7">
      <c r="A7" t="inlineStr">
        <is>
          <t>2B</t>
        </is>
      </c>
      <c r="B7" t="n">
        <v>1450</v>
      </c>
      <c r="C7" t="n">
        <v>21</v>
      </c>
      <c r="D7" t="n">
        <v>600</v>
      </c>
      <c r="E7" t="n">
        <v>1100</v>
      </c>
      <c r="F7" t="n">
        <v>700</v>
      </c>
      <c r="G7" t="n">
        <v>1840</v>
      </c>
      <c r="H7">
        <f>IFERROR(ROUND(B7/30,2),"")</f>
        <v/>
      </c>
      <c r="I7">
        <f>IFERROR(H7*C7,"")</f>
        <v/>
      </c>
      <c r="J7">
        <f>IFERROR(I7+D7+E7+F7,"")</f>
        <v/>
      </c>
      <c r="K7">
        <f>IFERROR(G7,"")</f>
        <v/>
      </c>
      <c r="L7">
        <f>IFERROR(IF(K7&gt;J7,"Turn Over - Keeping Costs More Than Replacing",IF(K7&gt;J7*0.5,"Raise Rent To Offset Service Cost","Retain - Cheaper Than Turnover")),"")</f>
        <v/>
      </c>
      <c r="M7">
        <f>IFERROR(IF(K7&gt;J7*0.5,ROUND(G7/12,0),0),"")</f>
        <v/>
      </c>
    </row>
    <row r="8">
      <c r="A8" t="inlineStr">
        <is>
          <t>3C</t>
        </is>
      </c>
      <c r="B8" t="n">
        <v>1600</v>
      </c>
      <c r="C8" t="n">
        <v>18</v>
      </c>
      <c r="D8" t="n">
        <v>400</v>
      </c>
      <c r="E8" t="n">
        <v>500</v>
      </c>
      <c r="F8" t="n">
        <v>650</v>
      </c>
      <c r="G8" t="n">
        <v>700</v>
      </c>
      <c r="H8">
        <f>IFERROR(ROUND(B8/30,2),"")</f>
        <v/>
      </c>
      <c r="I8">
        <f>IFERROR(H8*C8,"")</f>
        <v/>
      </c>
      <c r="J8">
        <f>IFERROR(I8+D8+E8+F8,"")</f>
        <v/>
      </c>
      <c r="K8">
        <f>IFERROR(G8,"")</f>
        <v/>
      </c>
      <c r="L8">
        <f>IFERROR(IF(K8&gt;J8,"Turn Over - Keeping Costs More Than Replacing",IF(K8&gt;J8*0.5,"Raise Rent To Offset Service Cost","Retain - Cheaper Than Turnover")),"")</f>
        <v/>
      </c>
      <c r="M8">
        <f>IFERROR(IF(K8&gt;J8*0.5,ROUND(G8/12,0),0),"")</f>
        <v/>
      </c>
    </row>
    <row r="9">
      <c r="A9" t="inlineStr">
        <is>
          <t>4C</t>
        </is>
      </c>
      <c r="B9" t="n">
        <v>1380</v>
      </c>
      <c r="C9" t="n">
        <v>25</v>
      </c>
      <c r="D9" t="n">
        <v>700</v>
      </c>
      <c r="E9" t="n">
        <v>1400</v>
      </c>
      <c r="F9" t="n">
        <v>700</v>
      </c>
      <c r="G9" t="n">
        <v>2100</v>
      </c>
      <c r="H9">
        <f>IFERROR(ROUND(B9/30,2),"")</f>
        <v/>
      </c>
      <c r="I9">
        <f>IFERROR(H9*C9,"")</f>
        <v/>
      </c>
      <c r="J9">
        <f>IFERROR(I9+D9+E9+F9,"")</f>
        <v/>
      </c>
      <c r="K9">
        <f>IFERROR(G9,"")</f>
        <v/>
      </c>
      <c r="L9">
        <f>IFERROR(IF(K9&gt;J9,"Turn Over - Keeping Costs More Than Replacing",IF(K9&gt;J9*0.5,"Raise Rent To Offset Service Cost","Retain - Cheaper Than Turnover")),"")</f>
        <v/>
      </c>
      <c r="M9">
        <f>IFERROR(IF(K9&gt;J9*0.5,ROUND(G9/12,0),0),"")</f>
        <v/>
      </c>
    </row>
    <row r="10">
      <c r="A10" t="inlineStr">
        <is>
          <t>5A</t>
        </is>
      </c>
      <c r="B10" t="n">
        <v>1700</v>
      </c>
      <c r="C10" t="n">
        <v>12</v>
      </c>
      <c r="D10" t="n">
        <v>300</v>
      </c>
      <c r="E10" t="n">
        <v>250</v>
      </c>
      <c r="F10" t="n">
        <v>600</v>
      </c>
      <c r="G10" t="n">
        <v>150</v>
      </c>
      <c r="H10">
        <f>IFERROR(ROUND(B10/30,2),"")</f>
        <v/>
      </c>
      <c r="I10">
        <f>IFERROR(H10*C10,"")</f>
        <v/>
      </c>
      <c r="J10">
        <f>IFERROR(I10+D10+E10+F10,"")</f>
        <v/>
      </c>
      <c r="K10">
        <f>IFERROR(G10,"")</f>
        <v/>
      </c>
      <c r="L10">
        <f>IFERROR(IF(K10&gt;J10,"Turn Over - Keeping Costs More Than Replacing",IF(K10&gt;J10*0.5,"Raise Rent To Offset Service Cost","Retain - Cheaper Than Turnover")),"")</f>
        <v/>
      </c>
      <c r="M10">
        <f>IFERROR(IF(K10&gt;J10*0.5,ROUND(G10/12,0),0),"")</f>
        <v/>
      </c>
    </row>
    <row r="11">
      <c r="H11">
        <f>IFERROR(ROUND(B11/30,2),"")</f>
        <v/>
      </c>
      <c r="I11">
        <f>IFERROR(H11*C11,"")</f>
        <v/>
      </c>
      <c r="J11">
        <f>IFERROR(I11+D11+E11+F11,"")</f>
        <v/>
      </c>
      <c r="K11">
        <f>IFERROR(G11,"")</f>
        <v/>
      </c>
      <c r="L11">
        <f>IFERROR(IF(K11&gt;J11,"Turn Over - Keeping Costs More Than Replacing",IF(K11&gt;J11*0.5,"Raise Rent To Offset Service Cost","Retain - Cheaper Than Turnover")),"")</f>
        <v/>
      </c>
      <c r="M11">
        <f>IFERROR(IF(K11&gt;J11*0.5,ROUND(G11/12,0),0),"")</f>
        <v/>
      </c>
    </row>
    <row r="12">
      <c r="H12">
        <f>IFERROR(ROUND(B12/30,2),"")</f>
        <v/>
      </c>
      <c r="I12">
        <f>IFERROR(H12*C12,"")</f>
        <v/>
      </c>
      <c r="J12">
        <f>IFERROR(I12+D12+E12+F12,"")</f>
        <v/>
      </c>
      <c r="K12">
        <f>IFERROR(G12,"")</f>
        <v/>
      </c>
      <c r="L12">
        <f>IFERROR(IF(K12&gt;J12,"Turn Over - Keeping Costs More Than Replacing",IF(K12&gt;J12*0.5,"Raise Rent To Offset Service Cost","Retain - Cheaper Than Turnover")),"")</f>
        <v/>
      </c>
      <c r="M12">
        <f>IFERROR(IF(K12&gt;J12*0.5,ROUND(G12/12,0),0),"")</f>
        <v/>
      </c>
    </row>
    <row r="13">
      <c r="H13">
        <f>IFERROR(ROUND(B13/30,2),"")</f>
        <v/>
      </c>
      <c r="I13">
        <f>IFERROR(H13*C13,"")</f>
        <v/>
      </c>
      <c r="J13">
        <f>IFERROR(I13+D13+E13+F13,"")</f>
        <v/>
      </c>
      <c r="K13">
        <f>IFERROR(G13,"")</f>
        <v/>
      </c>
      <c r="L13">
        <f>IFERROR(IF(K13&gt;J13,"Turn Over - Keeping Costs More Than Replacing",IF(K13&gt;J13*0.5,"Raise Rent To Offset Service Cost","Retain - Cheaper Than Turnover")),"")</f>
        <v/>
      </c>
      <c r="M13">
        <f>IFERROR(IF(K13&gt;J13*0.5,ROUND(G13/12,0),0),"")</f>
        <v/>
      </c>
    </row>
    <row r="14">
      <c r="H14">
        <f>IFERROR(ROUND(B14/30,2),"")</f>
        <v/>
      </c>
      <c r="I14">
        <f>IFERROR(H14*C14,"")</f>
        <v/>
      </c>
      <c r="J14">
        <f>IFERROR(I14+D14+E14+F14,"")</f>
        <v/>
      </c>
      <c r="K14">
        <f>IFERROR(G14,"")</f>
        <v/>
      </c>
      <c r="L14">
        <f>IFERROR(IF(K14&gt;J14,"Turn Over - Keeping Costs More Than Replacing",IF(K14&gt;J14*0.5,"Raise Rent To Offset Service Cost","Retain - Cheaper Than Turnover")),"")</f>
        <v/>
      </c>
      <c r="M14">
        <f>IFERROR(IF(K14&gt;J14*0.5,ROUND(G14/12,0),0),"")</f>
        <v/>
      </c>
    </row>
    <row r="15">
      <c r="H15">
        <f>IFERROR(ROUND(B15/30,2),"")</f>
        <v/>
      </c>
      <c r="I15">
        <f>IFERROR(H15*C15,"")</f>
        <v/>
      </c>
      <c r="J15">
        <f>IFERROR(I15+D15+E15+F15,"")</f>
        <v/>
      </c>
      <c r="K15">
        <f>IFERROR(G15,"")</f>
        <v/>
      </c>
      <c r="L15">
        <f>IFERROR(IF(K15&gt;J15,"Turn Over - Keeping Costs More Than Replacing",IF(K15&gt;J15*0.5,"Raise Rent To Offset Service Cost","Retain - Cheaper Than Turnover")),"")</f>
        <v/>
      </c>
      <c r="M15">
        <f>IFERROR(IF(K15&gt;J15*0.5,ROUND(G15/12,0),0),"")</f>
        <v/>
      </c>
    </row>
    <row r="16">
      <c r="H16">
        <f>IFERROR(ROUND(B16/30,2),"")</f>
        <v/>
      </c>
      <c r="I16">
        <f>IFERROR(H16*C16,"")</f>
        <v/>
      </c>
      <c r="J16">
        <f>IFERROR(I16+D16+E16+F16,"")</f>
        <v/>
      </c>
      <c r="K16">
        <f>IFERROR(G16,"")</f>
        <v/>
      </c>
      <c r="L16">
        <f>IFERROR(IF(K16&gt;J16,"Turn Over - Keeping Costs More Than Replacing",IF(K16&gt;J16*0.5,"Raise Rent To Offset Service Cost","Retain - Cheaper Than Turnover")),"")</f>
        <v/>
      </c>
      <c r="M16">
        <f>IFERROR(IF(K16&gt;J16*0.5,ROUND(G16/12,0),0),"")</f>
        <v/>
      </c>
    </row>
    <row r="17">
      <c r="H17">
        <f>IFERROR(ROUND(B17/30,2),"")</f>
        <v/>
      </c>
      <c r="I17">
        <f>IFERROR(H17*C17,"")</f>
        <v/>
      </c>
      <c r="J17">
        <f>IFERROR(I17+D17+E17+F17,"")</f>
        <v/>
      </c>
      <c r="K17">
        <f>IFERROR(G17,"")</f>
        <v/>
      </c>
      <c r="L17">
        <f>IFERROR(IF(K17&gt;J17,"Turn Over - Keeping Costs More Than Replacing",IF(K17&gt;J17*0.5,"Raise Rent To Offset Service Cost","Retain - Cheaper Than Turnover")),"")</f>
        <v/>
      </c>
      <c r="M17">
        <f>IFERROR(IF(K17&gt;J17*0.5,ROUND(G17/12,0),0),"")</f>
        <v/>
      </c>
    </row>
    <row r="18">
      <c r="H18">
        <f>IFERROR(ROUND(B18/30,2),"")</f>
        <v/>
      </c>
      <c r="I18">
        <f>IFERROR(H18*C18,"")</f>
        <v/>
      </c>
      <c r="J18">
        <f>IFERROR(I18+D18+E18+F18,"")</f>
        <v/>
      </c>
      <c r="K18">
        <f>IFERROR(G18,"")</f>
        <v/>
      </c>
      <c r="L18">
        <f>IFERROR(IF(K18&gt;J18,"Turn Over - Keeping Costs More Than Replacing",IF(K18&gt;J18*0.5,"Raise Rent To Offset Service Cost","Retain - Cheaper Than Turnover")),"")</f>
        <v/>
      </c>
      <c r="M18">
        <f>IFERROR(IF(K18&gt;J18*0.5,ROUND(G18/12,0),0),"")</f>
        <v/>
      </c>
    </row>
    <row r="19">
      <c r="H19">
        <f>IFERROR(ROUND(B19/30,2),"")</f>
        <v/>
      </c>
      <c r="I19">
        <f>IFERROR(H19*C19,"")</f>
        <v/>
      </c>
      <c r="J19">
        <f>IFERROR(I19+D19+E19+F19,"")</f>
        <v/>
      </c>
      <c r="K19">
        <f>IFERROR(G19,"")</f>
        <v/>
      </c>
      <c r="L19">
        <f>IFERROR(IF(K19&gt;J19,"Turn Over - Keeping Costs More Than Replacing",IF(K19&gt;J19*0.5,"Raise Rent To Offset Service Cost","Retain - Cheaper Than Turnover")),"")</f>
        <v/>
      </c>
      <c r="M19">
        <f>IFERROR(IF(K19&gt;J19*0.5,ROUND(G19/12,0),0),"")</f>
        <v/>
      </c>
    </row>
    <row r="20">
      <c r="H20">
        <f>IFERROR(ROUND(B20/30,2),"")</f>
        <v/>
      </c>
      <c r="I20">
        <f>IFERROR(H20*C20,"")</f>
        <v/>
      </c>
      <c r="J20">
        <f>IFERROR(I20+D20+E20+F20,"")</f>
        <v/>
      </c>
      <c r="K20">
        <f>IFERROR(G20,"")</f>
        <v/>
      </c>
      <c r="L20">
        <f>IFERROR(IF(K20&gt;J20,"Turn Over - Keeping Costs More Than Replacing",IF(K20&gt;J20*0.5,"Raise Rent To Offset Service Cost","Retain - Cheaper Than Turnover")),"")</f>
        <v/>
      </c>
      <c r="M20">
        <f>IFERROR(IF(K20&gt;J20*0.5,ROUND(G20/12,0),0),"")</f>
        <v/>
      </c>
    </row>
    <row r="21">
      <c r="H21">
        <f>IFERROR(ROUND(B21/30,2),"")</f>
        <v/>
      </c>
      <c r="I21">
        <f>IFERROR(H21*C21,"")</f>
        <v/>
      </c>
      <c r="J21">
        <f>IFERROR(I21+D21+E21+F21,"")</f>
        <v/>
      </c>
      <c r="K21">
        <f>IFERROR(G21,"")</f>
        <v/>
      </c>
      <c r="L21">
        <f>IFERROR(IF(K21&gt;J21,"Turn Over - Keeping Costs More Than Replacing",IF(K21&gt;J21*0.5,"Raise Rent To Offset Service Cost","Retain - Cheaper Than Turnover")),"")</f>
        <v/>
      </c>
      <c r="M21">
        <f>IFERROR(IF(K21&gt;J21*0.5,ROUND(G21/12,0),0),"")</f>
        <v/>
      </c>
    </row>
    <row r="22">
      <c r="H22">
        <f>IFERROR(ROUND(B22/30,2),"")</f>
        <v/>
      </c>
      <c r="I22">
        <f>IFERROR(H22*C22,"")</f>
        <v/>
      </c>
      <c r="J22">
        <f>IFERROR(I22+D22+E22+F22,"")</f>
        <v/>
      </c>
      <c r="K22">
        <f>IFERROR(G22,"")</f>
        <v/>
      </c>
      <c r="L22">
        <f>IFERROR(IF(K22&gt;J22,"Turn Over - Keeping Costs More Than Replacing",IF(K22&gt;J22*0.5,"Raise Rent To Offset Service Cost","Retain - Cheaper Than Turnover")),"")</f>
        <v/>
      </c>
      <c r="M22">
        <f>IFERROR(IF(K22&gt;J22*0.5,ROUND(G22/12,0),0),"")</f>
        <v/>
      </c>
    </row>
    <row r="23">
      <c r="H23">
        <f>IFERROR(ROUND(B23/30,2),"")</f>
        <v/>
      </c>
      <c r="I23">
        <f>IFERROR(H23*C23,"")</f>
        <v/>
      </c>
      <c r="J23">
        <f>IFERROR(I23+D23+E23+F23,"")</f>
        <v/>
      </c>
      <c r="K23">
        <f>IFERROR(G23,"")</f>
        <v/>
      </c>
      <c r="L23">
        <f>IFERROR(IF(K23&gt;J23,"Turn Over - Keeping Costs More Than Replacing",IF(K23&gt;J23*0.5,"Raise Rent To Offset Service Cost","Retain - Cheaper Than Turnover")),"")</f>
        <v/>
      </c>
      <c r="M23">
        <f>IFERROR(IF(K23&gt;J23*0.5,ROUND(G23/12,0),0),"")</f>
        <v/>
      </c>
    </row>
    <row r="24">
      <c r="H24">
        <f>IFERROR(ROUND(B24/30,2),"")</f>
        <v/>
      </c>
      <c r="I24">
        <f>IFERROR(H24*C24,"")</f>
        <v/>
      </c>
      <c r="J24">
        <f>IFERROR(I24+D24+E24+F24,"")</f>
        <v/>
      </c>
      <c r="K24">
        <f>IFERROR(G24,"")</f>
        <v/>
      </c>
      <c r="L24">
        <f>IFERROR(IF(K24&gt;J24,"Turn Over - Keeping Costs More Than Replacing",IF(K24&gt;J24*0.5,"Raise Rent To Offset Service Cost","Retain - Cheaper Than Turnover")),"")</f>
        <v/>
      </c>
      <c r="M24">
        <f>IFERROR(IF(K24&gt;J24*0.5,ROUND(G24/12,0),0),"")</f>
        <v/>
      </c>
    </row>
    <row r="25">
      <c r="H25">
        <f>IFERROR(ROUND(B25/30,2),"")</f>
        <v/>
      </c>
      <c r="I25">
        <f>IFERROR(H25*C25,"")</f>
        <v/>
      </c>
      <c r="J25">
        <f>IFERROR(I25+D25+E25+F25,"")</f>
        <v/>
      </c>
      <c r="K25">
        <f>IFERROR(G25,"")</f>
        <v/>
      </c>
      <c r="L25">
        <f>IFERROR(IF(K25&gt;J25,"Turn Over - Keeping Costs More Than Replacing",IF(K25&gt;J25*0.5,"Raise Rent To Offset Service Cost","Retain - Cheaper Than Turnover")),"")</f>
        <v/>
      </c>
      <c r="M25">
        <f>IFERROR(IF(K25&gt;J25*0.5,ROUND(G25/12,0),0),"")</f>
        <v/>
      </c>
    </row>
  </sheetData>
  <mergeCells count="1">
    <mergeCell ref="A1:M3"/>
  </mergeCells>
  <conditionalFormatting sqref="K6:K25">
    <cfRule type="cellIs" priority="1" operator="greaterThan" dxfId="0">
      <formula>2000</formula>
    </cfRule>
  </conditionalFormatting>
  <conditionalFormatting sqref="J6:J25">
    <cfRule type="cellIs" priority="2" operator="greaterThan" dxfId="2">
      <formula>4000</formula>
    </cfRule>
  </conditionalFormatting>
  <conditionalFormatting sqref="M6:M25">
    <cfRule type="cellIs" priority="3" operator="greaterThan" dxfId="2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24" customWidth="1" min="7" max="7"/>
    <col width="16" customWidth="1" min="8" max="8"/>
    <col width="20" customWidth="1" min="9" max="9"/>
    <col width="17" customWidth="1" min="10" max="10"/>
  </cols>
  <sheetData>
    <row r="1">
      <c r="A1" s="1" t="inlineStr">
        <is>
          <t>AI INSIGHT SUMMARY:
Tenant in Unit 2B has paid late 4 of 12 months and submitted 7 maintenance requests against your portfolio average of 2.1, making them 31% costlier to service than your typical tenant. Their annual net profit is $4,920 versus your portfolio top performer in Unit 1A at $9,180 — a 46% gap. The retention vs. turnover model estimates keeping 2B at current rent costs you $1,840/year in excess service, while a full turnover would cost $4,300 in vacancy and re-leasing — so the financially superior move is a $200 rent increase, not eviction. Unit 4C's deposit of $1,200 no longer covers its risk-adjusted exposure of $1,950; collect an additional $750 before renewing. Begin renewal conversations 90 days before each lease-end date flagged in yellow below.</t>
        </is>
      </c>
    </row>
    <row r="2"/>
    <row r="3"/>
    <row r="4"/>
    <row r="5">
      <c r="A5" s="2" t="inlineStr">
        <is>
          <t>Unit</t>
        </is>
      </c>
      <c r="B5" s="2" t="inlineStr">
        <is>
          <t>Tenant Name</t>
        </is>
      </c>
      <c r="C5" s="2" t="inlineStr">
        <is>
          <t>Deposit Held</t>
        </is>
      </c>
      <c r="D5" s="2" t="inlineStr">
        <is>
          <t>Monthly Rent</t>
        </is>
      </c>
      <c r="E5" s="2" t="inlineStr">
        <is>
          <t>Risk Score</t>
        </is>
      </c>
      <c r="F5" s="2" t="inlineStr">
        <is>
          <t>Avg Annual Damage Estimate</t>
        </is>
      </c>
      <c r="G5" s="2" t="inlineStr">
        <is>
          <t>Risk Adjusted Exposure</t>
        </is>
      </c>
      <c r="H5" s="2" t="inlineStr">
        <is>
          <t>Deposit Gap</t>
        </is>
      </c>
      <c r="I5" s="2" t="inlineStr">
        <is>
          <t>Deposit Coverage %</t>
        </is>
      </c>
      <c r="J5" s="2" t="inlineStr">
        <is>
          <t>Deposit Verdict</t>
        </is>
      </c>
    </row>
    <row r="6">
      <c r="A6" t="inlineStr">
        <is>
          <t>1A</t>
        </is>
      </c>
      <c r="B6" t="inlineStr">
        <is>
          <t>M. Reyes</t>
        </is>
      </c>
      <c r="C6" t="n">
        <v>1530</v>
      </c>
      <c r="D6" t="n">
        <v>1530</v>
      </c>
      <c r="E6" t="n">
        <v>14.3</v>
      </c>
      <c r="F6" t="n">
        <v>1200</v>
      </c>
      <c r="G6">
        <f>IFERROR(ROUND(F6*(1+E6/100),0),"")</f>
        <v/>
      </c>
      <c r="H6">
        <f>IFERROR(G6-C6,"")</f>
        <v/>
      </c>
      <c r="I6">
        <f>IFERROR(IF(G6=0,100,ROUND(C6/G6*100,0)),"")</f>
        <v/>
      </c>
      <c r="J6">
        <f>IFERROR(IF(I6&gt;=100,"Adequate - Fully Covered",IF(I6&gt;=75,"Marginal - Monitor","Underfunded - Collect $"&amp;TEXT(H6,"0")&amp;" More")),"")</f>
        <v/>
      </c>
    </row>
    <row r="7">
      <c r="A7" t="inlineStr">
        <is>
          <t>2B</t>
        </is>
      </c>
      <c r="B7" t="inlineStr">
        <is>
          <t>J. Carter</t>
        </is>
      </c>
      <c r="C7" t="n">
        <v>1450</v>
      </c>
      <c r="D7" t="n">
        <v>1450</v>
      </c>
      <c r="E7" t="n">
        <v>70</v>
      </c>
      <c r="F7" t="n">
        <v>1500</v>
      </c>
      <c r="G7">
        <f>IFERROR(ROUND(F7*(1+E7/100),0),"")</f>
        <v/>
      </c>
      <c r="H7">
        <f>IFERROR(G7-C7,"")</f>
        <v/>
      </c>
      <c r="I7">
        <f>IFERROR(IF(G7=0,100,ROUND(C7/G7*100,0)),"")</f>
        <v/>
      </c>
      <c r="J7">
        <f>IFERROR(IF(I7&gt;=100,"Adequate - Fully Covered",IF(I7&gt;=75,"Marginal - Monitor","Underfunded - Collect $"&amp;TEXT(H7,"0")&amp;" More")),"")</f>
        <v/>
      </c>
    </row>
    <row r="8">
      <c r="A8" t="inlineStr">
        <is>
          <t>3C</t>
        </is>
      </c>
      <c r="B8" t="inlineStr">
        <is>
          <t>L. Nguyen</t>
        </is>
      </c>
      <c r="C8" t="n">
        <v>1600</v>
      </c>
      <c r="D8" t="n">
        <v>1600</v>
      </c>
      <c r="E8" t="n">
        <v>26.4</v>
      </c>
      <c r="F8" t="n">
        <v>1300</v>
      </c>
      <c r="G8">
        <f>IFERROR(ROUND(F8*(1+E8/100),0),"")</f>
        <v/>
      </c>
      <c r="H8">
        <f>IFERROR(G8-C8,"")</f>
        <v/>
      </c>
      <c r="I8">
        <f>IFERROR(IF(G8=0,100,ROUND(C8/G8*100,0)),"")</f>
        <v/>
      </c>
      <c r="J8">
        <f>IFERROR(IF(I8&gt;=100,"Adequate - Fully Covered",IF(I8&gt;=75,"Marginal - Monitor","Underfunded - Collect $"&amp;TEXT(H8,"0")&amp;" More")),"")</f>
        <v/>
      </c>
    </row>
    <row r="9">
      <c r="A9" t="inlineStr">
        <is>
          <t>4C</t>
        </is>
      </c>
      <c r="B9" t="inlineStr">
        <is>
          <t>D. Okafor</t>
        </is>
      </c>
      <c r="C9" t="n">
        <v>1200</v>
      </c>
      <c r="D9" t="n">
        <v>1380</v>
      </c>
      <c r="E9" t="n">
        <v>53.7</v>
      </c>
      <c r="F9" t="n">
        <v>1700</v>
      </c>
      <c r="G9">
        <f>IFERROR(ROUND(F9*(1+E9/100),0),"")</f>
        <v/>
      </c>
      <c r="H9">
        <f>IFERROR(G9-C9,"")</f>
        <v/>
      </c>
      <c r="I9">
        <f>IFERROR(IF(G9=0,100,ROUND(C9/G9*100,0)),"")</f>
        <v/>
      </c>
      <c r="J9">
        <f>IFERROR(IF(I9&gt;=100,"Adequate - Fully Covered",IF(I9&gt;=75,"Marginal - Monitor","Underfunded - Collect $"&amp;TEXT(H9,"0")&amp;" More")),"")</f>
        <v/>
      </c>
    </row>
    <row r="10">
      <c r="A10" t="inlineStr">
        <is>
          <t>5A</t>
        </is>
      </c>
      <c r="B10" t="inlineStr">
        <is>
          <t>S. Patel</t>
        </is>
      </c>
      <c r="C10" t="n">
        <v>1700</v>
      </c>
      <c r="D10" t="n">
        <v>1700</v>
      </c>
      <c r="E10" t="n">
        <v>7.2</v>
      </c>
      <c r="F10" t="n">
        <v>1100</v>
      </c>
      <c r="G10">
        <f>IFERROR(ROUND(F10*(1+E10/100),0),"")</f>
        <v/>
      </c>
      <c r="H10">
        <f>IFERROR(G10-C10,"")</f>
        <v/>
      </c>
      <c r="I10">
        <f>IFERROR(IF(G10=0,100,ROUND(C10/G10*100,0)),"")</f>
        <v/>
      </c>
      <c r="J10">
        <f>IFERROR(IF(I10&gt;=100,"Adequate - Fully Covered",IF(I10&gt;=75,"Marginal - Monitor","Underfunded - Collect $"&amp;TEXT(H10,"0")&amp;" More")),"")</f>
        <v/>
      </c>
    </row>
    <row r="11">
      <c r="G11">
        <f>IFERROR(ROUND(F11*(1+E11/100),0),"")</f>
        <v/>
      </c>
      <c r="H11">
        <f>IFERROR(G11-C11,"")</f>
        <v/>
      </c>
      <c r="I11">
        <f>IFERROR(IF(G11=0,100,ROUND(C11/G11*100,0)),"")</f>
        <v/>
      </c>
      <c r="J11">
        <f>IFERROR(IF(I11&gt;=100,"Adequate - Fully Covered",IF(I11&gt;=75,"Marginal - Monitor","Underfunded - Collect $"&amp;TEXT(H11,"0")&amp;" More")),"")</f>
        <v/>
      </c>
    </row>
    <row r="12">
      <c r="G12">
        <f>IFERROR(ROUND(F12*(1+E12/100),0),"")</f>
        <v/>
      </c>
      <c r="H12">
        <f>IFERROR(G12-C12,"")</f>
        <v/>
      </c>
      <c r="I12">
        <f>IFERROR(IF(G12=0,100,ROUND(C12/G12*100,0)),"")</f>
        <v/>
      </c>
      <c r="J12">
        <f>IFERROR(IF(I12&gt;=100,"Adequate - Fully Covered",IF(I12&gt;=75,"Marginal - Monitor","Underfunded - Collect $"&amp;TEXT(H12,"0")&amp;" More")),"")</f>
        <v/>
      </c>
    </row>
    <row r="13">
      <c r="G13">
        <f>IFERROR(ROUND(F13*(1+E13/100),0),"")</f>
        <v/>
      </c>
      <c r="H13">
        <f>IFERROR(G13-C13,"")</f>
        <v/>
      </c>
      <c r="I13">
        <f>IFERROR(IF(G13=0,100,ROUND(C13/G13*100,0)),"")</f>
        <v/>
      </c>
      <c r="J13">
        <f>IFERROR(IF(I13&gt;=100,"Adequate - Fully Covered",IF(I13&gt;=75,"Marginal - Monitor","Underfunded - Collect $"&amp;TEXT(H13,"0")&amp;" More")),"")</f>
        <v/>
      </c>
    </row>
    <row r="14">
      <c r="G14">
        <f>IFERROR(ROUND(F14*(1+E14/100),0),"")</f>
        <v/>
      </c>
      <c r="H14">
        <f>IFERROR(G14-C14,"")</f>
        <v/>
      </c>
      <c r="I14">
        <f>IFERROR(IF(G14=0,100,ROUND(C14/G14*100,0)),"")</f>
        <v/>
      </c>
      <c r="J14">
        <f>IFERROR(IF(I14&gt;=100,"Adequate - Fully Covered",IF(I14&gt;=75,"Marginal - Monitor","Underfunded - Collect $"&amp;TEXT(H14,"0")&amp;" More")),"")</f>
        <v/>
      </c>
    </row>
    <row r="15">
      <c r="G15">
        <f>IFERROR(ROUND(F15*(1+E15/100),0),"")</f>
        <v/>
      </c>
      <c r="H15">
        <f>IFERROR(G15-C15,"")</f>
        <v/>
      </c>
      <c r="I15">
        <f>IFERROR(IF(G15=0,100,ROUND(C15/G15*100,0)),"")</f>
        <v/>
      </c>
      <c r="J15">
        <f>IFERROR(IF(I15&gt;=100,"Adequate - Fully Covered",IF(I15&gt;=75,"Marginal - Monitor","Underfunded - Collect $"&amp;TEXT(H15,"0")&amp;" More")),"")</f>
        <v/>
      </c>
    </row>
    <row r="16">
      <c r="G16">
        <f>IFERROR(ROUND(F16*(1+E16/100),0),"")</f>
        <v/>
      </c>
      <c r="H16">
        <f>IFERROR(G16-C16,"")</f>
        <v/>
      </c>
      <c r="I16">
        <f>IFERROR(IF(G16=0,100,ROUND(C16/G16*100,0)),"")</f>
        <v/>
      </c>
      <c r="J16">
        <f>IFERROR(IF(I16&gt;=100,"Adequate - Fully Covered",IF(I16&gt;=75,"Marginal - Monitor","Underfunded - Collect $"&amp;TEXT(H16,"0")&amp;" More")),"")</f>
        <v/>
      </c>
    </row>
    <row r="17">
      <c r="G17">
        <f>IFERROR(ROUND(F17*(1+E17/100),0),"")</f>
        <v/>
      </c>
      <c r="H17">
        <f>IFERROR(G17-C17,"")</f>
        <v/>
      </c>
      <c r="I17">
        <f>IFERROR(IF(G17=0,100,ROUND(C17/G17*100,0)),"")</f>
        <v/>
      </c>
      <c r="J17">
        <f>IFERROR(IF(I17&gt;=100,"Adequate - Fully Covered",IF(I17&gt;=75,"Marginal - Monitor","Underfunded - Collect $"&amp;TEXT(H17,"0")&amp;" More")),"")</f>
        <v/>
      </c>
    </row>
    <row r="18">
      <c r="G18">
        <f>IFERROR(ROUND(F18*(1+E18/100),0),"")</f>
        <v/>
      </c>
      <c r="H18">
        <f>IFERROR(G18-C18,"")</f>
        <v/>
      </c>
      <c r="I18">
        <f>IFERROR(IF(G18=0,100,ROUND(C18/G18*100,0)),"")</f>
        <v/>
      </c>
      <c r="J18">
        <f>IFERROR(IF(I18&gt;=100,"Adequate - Fully Covered",IF(I18&gt;=75,"Marginal - Monitor","Underfunded - Collect $"&amp;TEXT(H18,"0")&amp;" More")),"")</f>
        <v/>
      </c>
    </row>
    <row r="19">
      <c r="G19">
        <f>IFERROR(ROUND(F19*(1+E19/100),0),"")</f>
        <v/>
      </c>
      <c r="H19">
        <f>IFERROR(G19-C19,"")</f>
        <v/>
      </c>
      <c r="I19">
        <f>IFERROR(IF(G19=0,100,ROUND(C19/G19*100,0)),"")</f>
        <v/>
      </c>
      <c r="J19">
        <f>IFERROR(IF(I19&gt;=100,"Adequate - Fully Covered",IF(I19&gt;=75,"Marginal - Monitor","Underfunded - Collect $"&amp;TEXT(H19,"0")&amp;" More")),"")</f>
        <v/>
      </c>
    </row>
    <row r="20">
      <c r="G20">
        <f>IFERROR(ROUND(F20*(1+E20/100),0),"")</f>
        <v/>
      </c>
      <c r="H20">
        <f>IFERROR(G20-C20,"")</f>
        <v/>
      </c>
      <c r="I20">
        <f>IFERROR(IF(G20=0,100,ROUND(C20/G20*100,0)),"")</f>
        <v/>
      </c>
      <c r="J20">
        <f>IFERROR(IF(I20&gt;=100,"Adequate - Fully Covered",IF(I20&gt;=75,"Marginal - Monitor","Underfunded - Collect $"&amp;TEXT(H20,"0")&amp;" More")),"")</f>
        <v/>
      </c>
    </row>
    <row r="21">
      <c r="G21">
        <f>IFERROR(ROUND(F21*(1+E21/100),0),"")</f>
        <v/>
      </c>
      <c r="H21">
        <f>IFERROR(G21-C21,"")</f>
        <v/>
      </c>
      <c r="I21">
        <f>IFERROR(IF(G21=0,100,ROUND(C21/G21*100,0)),"")</f>
        <v/>
      </c>
      <c r="J21">
        <f>IFERROR(IF(I21&gt;=100,"Adequate - Fully Covered",IF(I21&gt;=75,"Marginal - Monitor","Underfunded - Collect $"&amp;TEXT(H21,"0")&amp;" More")),"")</f>
        <v/>
      </c>
    </row>
    <row r="22">
      <c r="G22">
        <f>IFERROR(ROUND(F22*(1+E22/100),0),"")</f>
        <v/>
      </c>
      <c r="H22">
        <f>IFERROR(G22-C22,"")</f>
        <v/>
      </c>
      <c r="I22">
        <f>IFERROR(IF(G22=0,100,ROUND(C22/G22*100,0)),"")</f>
        <v/>
      </c>
      <c r="J22">
        <f>IFERROR(IF(I22&gt;=100,"Adequate - Fully Covered",IF(I22&gt;=75,"Marginal - Monitor","Underfunded - Collect $"&amp;TEXT(H22,"0")&amp;" More")),"")</f>
        <v/>
      </c>
    </row>
    <row r="23">
      <c r="G23">
        <f>IFERROR(ROUND(F23*(1+E23/100),0),"")</f>
        <v/>
      </c>
      <c r="H23">
        <f>IFERROR(G23-C23,"")</f>
        <v/>
      </c>
      <c r="I23">
        <f>IFERROR(IF(G23=0,100,ROUND(C23/G23*100,0)),"")</f>
        <v/>
      </c>
      <c r="J23">
        <f>IFERROR(IF(I23&gt;=100,"Adequate - Fully Covered",IF(I23&gt;=75,"Marginal - Monitor","Underfunded - Collect $"&amp;TEXT(H23,"0")&amp;" More")),"")</f>
        <v/>
      </c>
    </row>
    <row r="24">
      <c r="G24">
        <f>IFERROR(ROUND(F24*(1+E24/100),0),"")</f>
        <v/>
      </c>
      <c r="H24">
        <f>IFERROR(G24-C24,"")</f>
        <v/>
      </c>
      <c r="I24">
        <f>IFERROR(IF(G24=0,100,ROUND(C24/G24*100,0)),"")</f>
        <v/>
      </c>
      <c r="J24">
        <f>IFERROR(IF(I24&gt;=100,"Adequate - Fully Covered",IF(I24&gt;=75,"Marginal - Monitor","Underfunded - Collect $"&amp;TEXT(H24,"0")&amp;" More")),"")</f>
        <v/>
      </c>
    </row>
    <row r="25">
      <c r="G25">
        <f>IFERROR(ROUND(F25*(1+E25/100),0),"")</f>
        <v/>
      </c>
      <c r="H25">
        <f>IFERROR(G25-C25,"")</f>
        <v/>
      </c>
      <c r="I25">
        <f>IFERROR(IF(G25=0,100,ROUND(C25/G25*100,0)),"")</f>
        <v/>
      </c>
      <c r="J25">
        <f>IFERROR(IF(I25&gt;=100,"Adequate - Fully Covered",IF(I25&gt;=75,"Marginal - Monitor","Underfunded - Collect $"&amp;TEXT(H25,"0")&amp;" More")),"")</f>
        <v/>
      </c>
    </row>
  </sheetData>
  <mergeCells count="1">
    <mergeCell ref="A1:J3"/>
  </mergeCells>
  <conditionalFormatting sqref="I6:I25">
    <cfRule type="cellIs" priority="1" operator="lessThan" dxfId="0">
      <formula>75</formula>
    </cfRule>
    <cfRule type="cellIs" priority="2" operator="greaterThan" dxfId="1">
      <formula>100</formula>
    </cfRule>
  </conditionalFormatting>
  <conditionalFormatting sqref="H6:H25">
    <cfRule type="cellIs" priority="3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2026-06-29T02:39:22Z</dcterms:created>
  <dcterms:modified xsi:type="dcterms:W3CDTF">2026-06-29T03:44:05Z</dcterms:modified>
</cp:coreProperties>
</file>