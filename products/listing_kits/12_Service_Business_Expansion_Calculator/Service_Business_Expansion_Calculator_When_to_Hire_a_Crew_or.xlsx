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apacity Log" sheetId="1" state="visible" r:id="rId1"/>
    <sheet name="Breakeven Calculator" sheetId="2" state="visible" r:id="rId2"/>
    <sheet name="Expansion Dec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8" customWidth="1" min="4" max="4"/>
    <col width="18" customWidth="1" min="5" max="5"/>
    <col width="22" customWidth="1" min="6" max="6"/>
    <col width="19" customWidth="1" min="7" max="7"/>
    <col width="18" customWidth="1" min="8" max="8"/>
    <col width="21" customWidth="1" min="9" max="9"/>
    <col width="20" customWidth="1" min="10" max="10"/>
    <col width="17" customWidth="1" min="11" max="11"/>
  </cols>
  <sheetData>
    <row r="1">
      <c r="A1" s="1" t="inlineStr">
        <is>
          <t>AI INSIGHT SUMMARY:
You have turned away an estimated $3,150/week in jobs averaged over the last 6 weeks, and turned-away revenue has exceeded your new-crew breakeven of $2,400/week for 5 consecutive weeks. A second crew would be cash-flow positive from week one based on current demand. Crew utilization has held above 92% for 7 straight weeks, confirming the turn-aways are a genuine capacity wall and not a seasonal spike. The Expansion Decision tab now reads GO: expanding captures roughly $750/week in net profit above breakeven. Delaying one more month leaves an estimated $12,600 in capturable revenue on the table.</t>
        </is>
      </c>
    </row>
    <row r="2"/>
    <row r="3"/>
    <row r="4"/>
    <row r="5">
      <c r="A5" s="2" t="inlineStr">
        <is>
          <t>Week Ending</t>
        </is>
      </c>
      <c r="B5" s="2" t="inlineStr">
        <is>
          <t>Jobs Completed</t>
        </is>
      </c>
      <c r="C5" s="2" t="inlineStr">
        <is>
          <t>Avg Revenue Per Job</t>
        </is>
      </c>
      <c r="D5" s="2" t="inlineStr">
        <is>
          <t>Jobs Turned Away</t>
        </is>
      </c>
      <c r="E5" s="2" t="inlineStr">
        <is>
          <t>Jobs Rescheduled</t>
        </is>
      </c>
      <c r="F5" s="2" t="inlineStr">
        <is>
          <t>Crew Available Hours</t>
        </is>
      </c>
      <c r="G5" s="2" t="inlineStr">
        <is>
          <t>Crew Hours Worked</t>
        </is>
      </c>
      <c r="H5" s="2" t="inlineStr">
        <is>
          <t>Captured Revenue</t>
        </is>
      </c>
      <c r="I5" s="2" t="inlineStr">
        <is>
          <t>Turned Away Revenue</t>
        </is>
      </c>
      <c r="J5" s="2" t="inlineStr">
        <is>
          <t>Crew Utilization %</t>
        </is>
      </c>
      <c r="K5" s="2" t="inlineStr">
        <is>
          <t>Capacity Signal</t>
        </is>
      </c>
    </row>
    <row r="6">
      <c r="A6" t="inlineStr">
        <is>
          <t>2024-05-05</t>
        </is>
      </c>
      <c r="B6" t="n">
        <v>18</v>
      </c>
      <c r="C6" t="n">
        <v>420</v>
      </c>
      <c r="D6" t="n">
        <v>4</v>
      </c>
      <c r="E6" t="n">
        <v>1</v>
      </c>
      <c r="F6" t="n">
        <v>200</v>
      </c>
      <c r="G6" t="n">
        <v>178</v>
      </c>
      <c r="H6">
        <f>IFERROR(B6*C6,"")</f>
        <v/>
      </c>
      <c r="I6">
        <f>IFERROR((D6+E6)*C6,"")</f>
        <v/>
      </c>
      <c r="J6">
        <f>IFERROR(IF(F6=0,0,G6/F6),"")</f>
        <v/>
      </c>
      <c r="K6">
        <f>IFERROR(IF(AND(J6&gt;=0.9,I6&gt;0),"At Capacity - turning away "&amp;TEXT(I6,"$#,##0"),IF(J6&gt;=0.75,"Tight - monitor","Slack capacity")),"")</f>
        <v/>
      </c>
    </row>
    <row r="7">
      <c r="A7" t="inlineStr">
        <is>
          <t>2024-05-12</t>
        </is>
      </c>
      <c r="B7" t="n">
        <v>19</v>
      </c>
      <c r="C7" t="n">
        <v>420</v>
      </c>
      <c r="D7" t="n">
        <v>6</v>
      </c>
      <c r="E7" t="n">
        <v>2</v>
      </c>
      <c r="F7" t="n">
        <v>200</v>
      </c>
      <c r="G7" t="n">
        <v>188</v>
      </c>
      <c r="H7">
        <f>IFERROR(B7*C7,"")</f>
        <v/>
      </c>
      <c r="I7">
        <f>IFERROR((D7+E7)*C7,"")</f>
        <v/>
      </c>
      <c r="J7">
        <f>IFERROR(IF(F7=0,0,G7/F7),"")</f>
        <v/>
      </c>
      <c r="K7">
        <f>IFERROR(IF(AND(J7&gt;=0.9,I7&gt;0),"At Capacity - turning away "&amp;TEXT(I7,"$#,##0"),IF(J7&gt;=0.75,"Tight - monitor","Slack capacity")),"")</f>
        <v/>
      </c>
    </row>
    <row r="8">
      <c r="A8" t="inlineStr">
        <is>
          <t>2024-05-19</t>
        </is>
      </c>
      <c r="B8" t="n">
        <v>20</v>
      </c>
      <c r="C8" t="n">
        <v>430</v>
      </c>
      <c r="D8" t="n">
        <v>7</v>
      </c>
      <c r="E8" t="n">
        <v>1</v>
      </c>
      <c r="F8" t="n">
        <v>200</v>
      </c>
      <c r="G8" t="n">
        <v>192</v>
      </c>
      <c r="H8">
        <f>IFERROR(B8*C8,"")</f>
        <v/>
      </c>
      <c r="I8">
        <f>IFERROR((D8+E8)*C8,"")</f>
        <v/>
      </c>
      <c r="J8">
        <f>IFERROR(IF(F8=0,0,G8/F8),"")</f>
        <v/>
      </c>
      <c r="K8">
        <f>IFERROR(IF(AND(J8&gt;=0.9,I8&gt;0),"At Capacity - turning away "&amp;TEXT(I8,"$#,##0"),IF(J8&gt;=0.75,"Tight - monitor","Slack capacity")),"")</f>
        <v/>
      </c>
    </row>
    <row r="9">
      <c r="A9" t="inlineStr">
        <is>
          <t>2024-05-26</t>
        </is>
      </c>
      <c r="B9" t="n">
        <v>19</v>
      </c>
      <c r="C9" t="n">
        <v>430</v>
      </c>
      <c r="D9" t="n">
        <v>5</v>
      </c>
      <c r="E9" t="n">
        <v>3</v>
      </c>
      <c r="F9" t="n">
        <v>200</v>
      </c>
      <c r="G9" t="n">
        <v>190</v>
      </c>
      <c r="H9">
        <f>IFERROR(B9*C9,"")</f>
        <v/>
      </c>
      <c r="I9">
        <f>IFERROR((D9+E9)*C9,"")</f>
        <v/>
      </c>
      <c r="J9">
        <f>IFERROR(IF(F9=0,0,G9/F9),"")</f>
        <v/>
      </c>
      <c r="K9">
        <f>IFERROR(IF(AND(J9&gt;=0.9,I9&gt;0),"At Capacity - turning away "&amp;TEXT(I9,"$#,##0"),IF(J9&gt;=0.75,"Tight - monitor","Slack capacity")),"")</f>
        <v/>
      </c>
    </row>
    <row r="10">
      <c r="A10" t="inlineStr">
        <is>
          <t>2024-06-02</t>
        </is>
      </c>
      <c r="B10" t="n">
        <v>21</v>
      </c>
      <c r="C10" t="n">
        <v>440</v>
      </c>
      <c r="D10" t="n">
        <v>8</v>
      </c>
      <c r="E10" t="n">
        <v>2</v>
      </c>
      <c r="F10" t="n">
        <v>200</v>
      </c>
      <c r="G10" t="n">
        <v>196</v>
      </c>
      <c r="H10">
        <f>IFERROR(B10*C10,"")</f>
        <v/>
      </c>
      <c r="I10">
        <f>IFERROR((D10+E10)*C10,"")</f>
        <v/>
      </c>
      <c r="J10">
        <f>IFERROR(IF(F10=0,0,G10/F10),"")</f>
        <v/>
      </c>
      <c r="K10">
        <f>IFERROR(IF(AND(J10&gt;=0.9,I10&gt;0),"At Capacity - turning away "&amp;TEXT(I10,"$#,##0"),IF(J10&gt;=0.75,"Tight - monitor","Slack capacity")),"")</f>
        <v/>
      </c>
    </row>
    <row r="11">
      <c r="A11" t="inlineStr">
        <is>
          <t>2024-06-09</t>
        </is>
      </c>
      <c r="B11" t="n">
        <v>20</v>
      </c>
      <c r="C11" t="n">
        <v>440</v>
      </c>
      <c r="D11" t="n">
        <v>6</v>
      </c>
      <c r="E11" t="n">
        <v>1</v>
      </c>
      <c r="F11" t="n">
        <v>200</v>
      </c>
      <c r="G11" t="n">
        <v>191</v>
      </c>
      <c r="H11">
        <f>IFERROR(B11*C11,"")</f>
        <v/>
      </c>
      <c r="I11">
        <f>IFERROR((D11+E11)*C11,"")</f>
        <v/>
      </c>
      <c r="J11">
        <f>IFERROR(IF(F11=0,0,G11/F11),"")</f>
        <v/>
      </c>
      <c r="K11">
        <f>IFERROR(IF(AND(J11&gt;=0.9,I11&gt;0),"At Capacity - turning away "&amp;TEXT(I11,"$#,##0"),IF(J11&gt;=0.75,"Tight - monitor","Slack capacity")),"")</f>
        <v/>
      </c>
    </row>
    <row r="12">
      <c r="H12">
        <f>IFERROR(B12*C12,"")</f>
        <v/>
      </c>
      <c r="I12">
        <f>IFERROR((D12+E12)*C12,"")</f>
        <v/>
      </c>
      <c r="J12">
        <f>IFERROR(IF(F12=0,0,G12/F12),"")</f>
        <v/>
      </c>
      <c r="K12">
        <f>IFERROR(IF(AND(J12&gt;=0.9,I12&gt;0),"At Capacity - turning away "&amp;TEXT(I12,"$#,##0"),IF(J12&gt;=0.75,"Tight - monitor","Slack capacity")),"")</f>
        <v/>
      </c>
    </row>
    <row r="13">
      <c r="H13">
        <f>IFERROR(B13*C13,"")</f>
        <v/>
      </c>
      <c r="I13">
        <f>IFERROR((D13+E13)*C13,"")</f>
        <v/>
      </c>
      <c r="J13">
        <f>IFERROR(IF(F13=0,0,G13/F13),"")</f>
        <v/>
      </c>
      <c r="K13">
        <f>IFERROR(IF(AND(J13&gt;=0.9,I13&gt;0),"At Capacity - turning away "&amp;TEXT(I13,"$#,##0"),IF(J13&gt;=0.75,"Tight - monitor","Slack capacity")),"")</f>
        <v/>
      </c>
    </row>
    <row r="14">
      <c r="H14">
        <f>IFERROR(B14*C14,"")</f>
        <v/>
      </c>
      <c r="I14">
        <f>IFERROR((D14+E14)*C14,"")</f>
        <v/>
      </c>
      <c r="J14">
        <f>IFERROR(IF(F14=0,0,G14/F14),"")</f>
        <v/>
      </c>
      <c r="K14">
        <f>IFERROR(IF(AND(J14&gt;=0.9,I14&gt;0),"At Capacity - turning away "&amp;TEXT(I14,"$#,##0"),IF(J14&gt;=0.75,"Tight - monitor","Slack capacity")),"")</f>
        <v/>
      </c>
    </row>
    <row r="15">
      <c r="H15">
        <f>IFERROR(B15*C15,"")</f>
        <v/>
      </c>
      <c r="I15">
        <f>IFERROR((D15+E15)*C15,"")</f>
        <v/>
      </c>
      <c r="J15">
        <f>IFERROR(IF(F15=0,0,G15/F15),"")</f>
        <v/>
      </c>
      <c r="K15">
        <f>IFERROR(IF(AND(J15&gt;=0.9,I15&gt;0),"At Capacity - turning away "&amp;TEXT(I15,"$#,##0"),IF(J15&gt;=0.75,"Tight - monitor","Slack capacity")),"")</f>
        <v/>
      </c>
    </row>
    <row r="16">
      <c r="H16">
        <f>IFERROR(B16*C16,"")</f>
        <v/>
      </c>
      <c r="I16">
        <f>IFERROR((D16+E16)*C16,"")</f>
        <v/>
      </c>
      <c r="J16">
        <f>IFERROR(IF(F16=0,0,G16/F16),"")</f>
        <v/>
      </c>
      <c r="K16">
        <f>IFERROR(IF(AND(J16&gt;=0.9,I16&gt;0),"At Capacity - turning away "&amp;TEXT(I16,"$#,##0"),IF(J16&gt;=0.75,"Tight - monitor","Slack capacity")),"")</f>
        <v/>
      </c>
    </row>
    <row r="17">
      <c r="H17">
        <f>IFERROR(B17*C17,"")</f>
        <v/>
      </c>
      <c r="I17">
        <f>IFERROR((D17+E17)*C17,"")</f>
        <v/>
      </c>
      <c r="J17">
        <f>IFERROR(IF(F17=0,0,G17/F17),"")</f>
        <v/>
      </c>
      <c r="K17">
        <f>IFERROR(IF(AND(J17&gt;=0.9,I17&gt;0),"At Capacity - turning away "&amp;TEXT(I17,"$#,##0"),IF(J17&gt;=0.75,"Tight - monitor","Slack capacity")),"")</f>
        <v/>
      </c>
    </row>
    <row r="18">
      <c r="H18">
        <f>IFERROR(B18*C18,"")</f>
        <v/>
      </c>
      <c r="I18">
        <f>IFERROR((D18+E18)*C18,"")</f>
        <v/>
      </c>
      <c r="J18">
        <f>IFERROR(IF(F18=0,0,G18/F18),"")</f>
        <v/>
      </c>
      <c r="K18">
        <f>IFERROR(IF(AND(J18&gt;=0.9,I18&gt;0),"At Capacity - turning away "&amp;TEXT(I18,"$#,##0"),IF(J18&gt;=0.75,"Tight - monitor","Slack capacity")),"")</f>
        <v/>
      </c>
    </row>
    <row r="19">
      <c r="H19">
        <f>IFERROR(B19*C19,"")</f>
        <v/>
      </c>
      <c r="I19">
        <f>IFERROR((D19+E19)*C19,"")</f>
        <v/>
      </c>
      <c r="J19">
        <f>IFERROR(IF(F19=0,0,G19/F19),"")</f>
        <v/>
      </c>
      <c r="K19">
        <f>IFERROR(IF(AND(J19&gt;=0.9,I19&gt;0),"At Capacity - turning away "&amp;TEXT(I19,"$#,##0"),IF(J19&gt;=0.75,"Tight - monitor","Slack capacity")),"")</f>
        <v/>
      </c>
    </row>
    <row r="20">
      <c r="H20">
        <f>IFERROR(B20*C20,"")</f>
        <v/>
      </c>
      <c r="I20">
        <f>IFERROR((D20+E20)*C20,"")</f>
        <v/>
      </c>
      <c r="J20">
        <f>IFERROR(IF(F20=0,0,G20/F20),"")</f>
        <v/>
      </c>
      <c r="K20">
        <f>IFERROR(IF(AND(J20&gt;=0.9,I20&gt;0),"At Capacity - turning away "&amp;TEXT(I20,"$#,##0"),IF(J20&gt;=0.75,"Tight - monitor","Slack capacity")),"")</f>
        <v/>
      </c>
    </row>
    <row r="21">
      <c r="H21">
        <f>IFERROR(B21*C21,"")</f>
        <v/>
      </c>
      <c r="I21">
        <f>IFERROR((D21+E21)*C21,"")</f>
        <v/>
      </c>
      <c r="J21">
        <f>IFERROR(IF(F21=0,0,G21/F21),"")</f>
        <v/>
      </c>
      <c r="K21">
        <f>IFERROR(IF(AND(J21&gt;=0.9,I21&gt;0),"At Capacity - turning away "&amp;TEXT(I21,"$#,##0"),IF(J21&gt;=0.75,"Tight - monitor","Slack capacity")),"")</f>
        <v/>
      </c>
    </row>
    <row r="22">
      <c r="H22">
        <f>IFERROR(B22*C22,"")</f>
        <v/>
      </c>
      <c r="I22">
        <f>IFERROR((D22+E22)*C22,"")</f>
        <v/>
      </c>
      <c r="J22">
        <f>IFERROR(IF(F22=0,0,G22/F22),"")</f>
        <v/>
      </c>
      <c r="K22">
        <f>IFERROR(IF(AND(J22&gt;=0.9,I22&gt;0),"At Capacity - turning away "&amp;TEXT(I22,"$#,##0"),IF(J22&gt;=0.75,"Tight - monitor","Slack capacity")),"")</f>
        <v/>
      </c>
    </row>
    <row r="23">
      <c r="H23">
        <f>IFERROR(B23*C23,"")</f>
        <v/>
      </c>
      <c r="I23">
        <f>IFERROR((D23+E23)*C23,"")</f>
        <v/>
      </c>
      <c r="J23">
        <f>IFERROR(IF(F23=0,0,G23/F23),"")</f>
        <v/>
      </c>
      <c r="K23">
        <f>IFERROR(IF(AND(J23&gt;=0.9,I23&gt;0),"At Capacity - turning away "&amp;TEXT(I23,"$#,##0"),IF(J23&gt;=0.75,"Tight - monitor","Slack capacity")),"")</f>
        <v/>
      </c>
    </row>
    <row r="24">
      <c r="H24">
        <f>IFERROR(B24*C24,"")</f>
        <v/>
      </c>
      <c r="I24">
        <f>IFERROR((D24+E24)*C24,"")</f>
        <v/>
      </c>
      <c r="J24">
        <f>IFERROR(IF(F24=0,0,G24/F24),"")</f>
        <v/>
      </c>
      <c r="K24">
        <f>IFERROR(IF(AND(J24&gt;=0.9,I24&gt;0),"At Capacity - turning away "&amp;TEXT(I24,"$#,##0"),IF(J24&gt;=0.75,"Tight - monitor","Slack capacity")),"")</f>
        <v/>
      </c>
    </row>
    <row r="25">
      <c r="H25">
        <f>IFERROR(B25*C25,"")</f>
        <v/>
      </c>
      <c r="I25">
        <f>IFERROR((D25+E25)*C25,"")</f>
        <v/>
      </c>
      <c r="J25">
        <f>IFERROR(IF(F25=0,0,G25/F25),"")</f>
        <v/>
      </c>
      <c r="K25">
        <f>IFERROR(IF(AND(J25&gt;=0.9,I25&gt;0),"At Capacity - turning away "&amp;TEXT(I25,"$#,##0"),IF(J25&gt;=0.75,"Tight - monitor","Slack capacity")),"")</f>
        <v/>
      </c>
    </row>
    <row r="26">
      <c r="H26">
        <f>IFERROR(B26*C26,"")</f>
        <v/>
      </c>
      <c r="I26">
        <f>IFERROR((D26+E26)*C26,"")</f>
        <v/>
      </c>
      <c r="J26">
        <f>IFERROR(IF(F26=0,0,G26/F26),"")</f>
        <v/>
      </c>
      <c r="K26">
        <f>IFERROR(IF(AND(J26&gt;=0.9,I26&gt;0),"At Capacity - turning away "&amp;TEXT(I26,"$#,##0"),IF(J26&gt;=0.75,"Tight - monitor","Slack capacity")),"")</f>
        <v/>
      </c>
    </row>
  </sheetData>
  <mergeCells count="1">
    <mergeCell ref="A1:K3"/>
  </mergeCells>
  <conditionalFormatting sqref="J6:J26">
    <cfRule type="cellIs" priority="1" operator="greaterThan" dxfId="0">
      <formula>0.9</formula>
    </cfRule>
    <cfRule type="cellIs" priority="2" operator="lessThan" dxfId="1">
      <formula>0.75</formula>
    </cfRule>
  </conditionalFormatting>
  <conditionalFormatting sqref="I6:I26">
    <cfRule type="cellIs" priority="3" operator="greaterThan" dxfId="0">
      <formula>2400</formula>
    </cfRule>
    <cfRule type="cellIs" priority="4" operator="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  <col width="25" customWidth="1" min="4" max="4"/>
    <col width="20" customWidth="1" min="5" max="5"/>
    <col width="19" customWidth="1" min="6" max="6"/>
    <col width="16" customWidth="1" min="7" max="7"/>
    <col width="38" customWidth="1" min="8" max="8"/>
    <col width="37" customWidth="1" min="9" max="9"/>
    <col width="28" customWidth="1" min="10" max="10"/>
    <col width="19" customWidth="1" min="11" max="11"/>
  </cols>
  <sheetData>
    <row r="1">
      <c r="A1" s="1" t="inlineStr">
        <is>
          <t>AI INSIGHT SUMMARY:
You have turned away an estimated $3,150/week in jobs averaged over the last 6 weeks, and turned-away revenue has exceeded your new-crew breakeven of $2,400/week for 5 consecutive weeks. A second crew would be cash-flow positive from week one based on current demand. Crew utilization has held above 92% for 7 straight weeks, confirming the turn-aways are a genuine capacity wall and not a seasonal spike. The Expansion Decision tab now reads GO: expanding captures roughly $750/week in net profit above breakeven. Delaying one more month leaves an estimated $12,600 in capturable revenue on the table.</t>
        </is>
      </c>
    </row>
    <row r="2"/>
    <row r="3"/>
    <row r="4"/>
    <row r="5">
      <c r="A5" s="2" t="inlineStr">
        <is>
          <t>Expansion Type</t>
        </is>
      </c>
      <c r="B5" s="2" t="inlineStr">
        <is>
          <t>New Crew Weekly Wages</t>
        </is>
      </c>
      <c r="C5" s="2" t="inlineStr">
        <is>
          <t>New Truck Weekly Payment</t>
        </is>
      </c>
      <c r="D5" s="2" t="inlineStr">
        <is>
          <t>Insurance &amp; Fuel Weekly</t>
        </is>
      </c>
      <c r="E5" s="2" t="inlineStr">
        <is>
          <t>Other Weekly Costs</t>
        </is>
      </c>
      <c r="F5" s="2" t="inlineStr">
        <is>
          <t>Total Weekly Cost</t>
        </is>
      </c>
      <c r="G5" s="2" t="inlineStr">
        <is>
          <t>Gross Margin %</t>
        </is>
      </c>
      <c r="H5" s="2" t="inlineStr">
        <is>
          <t>Required Weekly Revenue To Breakeven</t>
        </is>
      </c>
      <c r="I5" s="2" t="inlineStr">
        <is>
          <t>Captured Turned Away Revenue Weekly</t>
        </is>
      </c>
      <c r="J5" s="2" t="inlineStr">
        <is>
          <t>Weekly Net After Expansion</t>
        </is>
      </c>
      <c r="K5" s="2" t="inlineStr">
        <is>
          <t>Breakeven Verdict</t>
        </is>
      </c>
    </row>
    <row r="6">
      <c r="A6" t="inlineStr">
        <is>
          <t>Second Crew + Truck</t>
        </is>
      </c>
      <c r="B6" t="n">
        <v>1600</v>
      </c>
      <c r="C6" t="n">
        <v>350</v>
      </c>
      <c r="D6" t="n">
        <v>280</v>
      </c>
      <c r="E6" t="n">
        <v>170</v>
      </c>
      <c r="F6">
        <f>IFERROR(B6+C6+D6+E6,"")</f>
        <v/>
      </c>
      <c r="G6" t="n">
        <v>0.55</v>
      </c>
      <c r="H6">
        <f>IFERROR(IF(G6=0,0,F6/G6),"")</f>
        <v/>
      </c>
      <c r="I6" t="n">
        <v>3360</v>
      </c>
      <c r="J6">
        <f>IFERROR((I6*G6)-F6,"")</f>
        <v/>
      </c>
      <c r="K6">
        <f>IFERROR(IF(I6&gt;=H6,"GO - profitable from week one (+"&amp;TEXT(J6,"$#,##0")&amp;"/wk)","HOLD - need "&amp;TEXT(H6-I6,"$#,##0")&amp;"/wk more demand"),"")</f>
        <v/>
      </c>
    </row>
    <row r="7">
      <c r="A7" t="inlineStr">
        <is>
          <t>Second Crew Only</t>
        </is>
      </c>
      <c r="B7" t="n">
        <v>1600</v>
      </c>
      <c r="C7" t="n">
        <v>0</v>
      </c>
      <c r="D7" t="n">
        <v>120</v>
      </c>
      <c r="E7" t="n">
        <v>100</v>
      </c>
      <c r="F7">
        <f>IFERROR(B7+C7+D7+E7,"")</f>
        <v/>
      </c>
      <c r="G7" t="n">
        <v>0.55</v>
      </c>
      <c r="H7">
        <f>IFERROR(IF(G7=0,0,F7/G7),"")</f>
        <v/>
      </c>
      <c r="I7" t="n">
        <v>3360</v>
      </c>
      <c r="J7">
        <f>IFERROR((I7*G7)-F7,"")</f>
        <v/>
      </c>
      <c r="K7">
        <f>IFERROR(IF(I7&gt;=H7,"GO - profitable from week one (+"&amp;TEXT(J7,"$#,##0")&amp;"/wk)","HOLD - need "&amp;TEXT(H7-I7,"$#,##0")&amp;"/wk more demand"),"")</f>
        <v/>
      </c>
    </row>
    <row r="8">
      <c r="A8" t="inlineStr">
        <is>
          <t>Truck Only</t>
        </is>
      </c>
      <c r="B8" t="n">
        <v>0</v>
      </c>
      <c r="C8" t="n">
        <v>350</v>
      </c>
      <c r="D8" t="n">
        <v>200</v>
      </c>
      <c r="E8" t="n">
        <v>80</v>
      </c>
      <c r="F8">
        <f>IFERROR(B8+C8+D8+E8,"")</f>
        <v/>
      </c>
      <c r="G8" t="n">
        <v>0.6</v>
      </c>
      <c r="H8">
        <f>IFERROR(IF(G8=0,0,F8/G8),"")</f>
        <v/>
      </c>
      <c r="I8" t="n">
        <v>3360</v>
      </c>
      <c r="J8">
        <f>IFERROR((I8*G8)-F8,"")</f>
        <v/>
      </c>
      <c r="K8">
        <f>IFERROR(IF(I8&gt;=H8,"GO - profitable from week one (+"&amp;TEXT(J8,"$#,##0")&amp;"/wk)","HOLD - need "&amp;TEXT(H8-I8,"$#,##0")&amp;"/wk more demand"),"")</f>
        <v/>
      </c>
    </row>
    <row r="9">
      <c r="A9" t="inlineStr">
        <is>
          <t>Part-Time Helper</t>
        </is>
      </c>
      <c r="B9" t="n">
        <v>700</v>
      </c>
      <c r="C9" t="n">
        <v>0</v>
      </c>
      <c r="D9" t="n">
        <v>80</v>
      </c>
      <c r="E9" t="n">
        <v>60</v>
      </c>
      <c r="F9">
        <f>IFERROR(B9+C9+D9+E9,"")</f>
        <v/>
      </c>
      <c r="G9" t="n">
        <v>0.5</v>
      </c>
      <c r="H9">
        <f>IFERROR(IF(G9=0,0,F9/G9),"")</f>
        <v/>
      </c>
      <c r="I9" t="n">
        <v>3360</v>
      </c>
      <c r="J9">
        <f>IFERROR((I9*G9)-F9,"")</f>
        <v/>
      </c>
      <c r="K9">
        <f>IFERROR(IF(I9&gt;=H9,"GO - profitable from week one (+"&amp;TEXT(J9,"$#,##0")&amp;"/wk)","HOLD - need "&amp;TEXT(H9-I9,"$#,##0")&amp;"/wk more demand"),"")</f>
        <v/>
      </c>
    </row>
    <row r="10">
      <c r="F10">
        <f>IFERROR(B10+C10+D10+E10,"")</f>
        <v/>
      </c>
      <c r="H10">
        <f>IFERROR(IF(G10=0,0,F10/G10),"")</f>
        <v/>
      </c>
      <c r="J10">
        <f>IFERROR((I10*G10)-F10,"")</f>
        <v/>
      </c>
      <c r="K10">
        <f>IFERROR(IF(I10&gt;=H10,"GO - profitable from week one (+"&amp;TEXT(J10,"$#,##0")&amp;"/wk)","HOLD - need "&amp;TEXT(H10-I10,"$#,##0")&amp;"/wk more demand"),"")</f>
        <v/>
      </c>
    </row>
    <row r="11">
      <c r="F11">
        <f>IFERROR(B11+C11+D11+E11,"")</f>
        <v/>
      </c>
      <c r="H11">
        <f>IFERROR(IF(G11=0,0,F11/G11),"")</f>
        <v/>
      </c>
      <c r="J11">
        <f>IFERROR((I11*G11)-F11,"")</f>
        <v/>
      </c>
      <c r="K11">
        <f>IFERROR(IF(I11&gt;=H11,"GO - profitable from week one (+"&amp;TEXT(J11,"$#,##0")&amp;"/wk)","HOLD - need "&amp;TEXT(H11-I11,"$#,##0")&amp;"/wk more demand"),"")</f>
        <v/>
      </c>
    </row>
    <row r="12">
      <c r="F12">
        <f>IFERROR(B12+C12+D12+E12,"")</f>
        <v/>
      </c>
      <c r="H12">
        <f>IFERROR(IF(G12=0,0,F12/G12),"")</f>
        <v/>
      </c>
      <c r="J12">
        <f>IFERROR((I12*G12)-F12,"")</f>
        <v/>
      </c>
      <c r="K12">
        <f>IFERROR(IF(I12&gt;=H12,"GO - profitable from week one (+"&amp;TEXT(J12,"$#,##0")&amp;"/wk)","HOLD - need "&amp;TEXT(H12-I12,"$#,##0")&amp;"/wk more demand"),"")</f>
        <v/>
      </c>
    </row>
    <row r="13">
      <c r="F13">
        <f>IFERROR(B13+C13+D13+E13,"")</f>
        <v/>
      </c>
      <c r="H13">
        <f>IFERROR(IF(G13=0,0,F13/G13),"")</f>
        <v/>
      </c>
      <c r="J13">
        <f>IFERROR((I13*G13)-F13,"")</f>
        <v/>
      </c>
      <c r="K13">
        <f>IFERROR(IF(I13&gt;=H13,"GO - profitable from week one (+"&amp;TEXT(J13,"$#,##0")&amp;"/wk)","HOLD - need "&amp;TEXT(H13-I13,"$#,##0")&amp;"/wk more demand"),"")</f>
        <v/>
      </c>
    </row>
    <row r="14">
      <c r="F14">
        <f>IFERROR(B14+C14+D14+E14,"")</f>
        <v/>
      </c>
      <c r="H14">
        <f>IFERROR(IF(G14=0,0,F14/G14),"")</f>
        <v/>
      </c>
      <c r="J14">
        <f>IFERROR((I14*G14)-F14,"")</f>
        <v/>
      </c>
      <c r="K14">
        <f>IFERROR(IF(I14&gt;=H14,"GO - profitable from week one (+"&amp;TEXT(J14,"$#,##0")&amp;"/wk)","HOLD - need "&amp;TEXT(H14-I14,"$#,##0")&amp;"/wk more demand"),"")</f>
        <v/>
      </c>
    </row>
    <row r="15">
      <c r="F15">
        <f>IFERROR(B15+C15+D15+E15,"")</f>
        <v/>
      </c>
      <c r="H15">
        <f>IFERROR(IF(G15=0,0,F15/G15),"")</f>
        <v/>
      </c>
      <c r="J15">
        <f>IFERROR((I15*G15)-F15,"")</f>
        <v/>
      </c>
      <c r="K15">
        <f>IFERROR(IF(I15&gt;=H15,"GO - profitable from week one (+"&amp;TEXT(J15,"$#,##0")&amp;"/wk)","HOLD - need "&amp;TEXT(H15-I15,"$#,##0")&amp;"/wk more demand"),"")</f>
        <v/>
      </c>
    </row>
    <row r="16">
      <c r="F16">
        <f>IFERROR(B16+C16+D16+E16,"")</f>
        <v/>
      </c>
      <c r="H16">
        <f>IFERROR(IF(G16=0,0,F16/G16),"")</f>
        <v/>
      </c>
      <c r="J16">
        <f>IFERROR((I16*G16)-F16,"")</f>
        <v/>
      </c>
      <c r="K16">
        <f>IFERROR(IF(I16&gt;=H16,"GO - profitable from week one (+"&amp;TEXT(J16,"$#,##0")&amp;"/wk)","HOLD - need "&amp;TEXT(H16-I16,"$#,##0")&amp;"/wk more demand"),"")</f>
        <v/>
      </c>
    </row>
    <row r="17">
      <c r="F17">
        <f>IFERROR(B17+C17+D17+E17,"")</f>
        <v/>
      </c>
      <c r="H17">
        <f>IFERROR(IF(G17=0,0,F17/G17),"")</f>
        <v/>
      </c>
      <c r="J17">
        <f>IFERROR((I17*G17)-F17,"")</f>
        <v/>
      </c>
      <c r="K17">
        <f>IFERROR(IF(I17&gt;=H17,"GO - profitable from week one (+"&amp;TEXT(J17,"$#,##0")&amp;"/wk)","HOLD - need "&amp;TEXT(H17-I17,"$#,##0")&amp;"/wk more demand"),"")</f>
        <v/>
      </c>
    </row>
    <row r="18">
      <c r="F18">
        <f>IFERROR(B18+C18+D18+E18,"")</f>
        <v/>
      </c>
      <c r="H18">
        <f>IFERROR(IF(G18=0,0,F18/G18),"")</f>
        <v/>
      </c>
      <c r="J18">
        <f>IFERROR((I18*G18)-F18,"")</f>
        <v/>
      </c>
      <c r="K18">
        <f>IFERROR(IF(I18&gt;=H18,"GO - profitable from week one (+"&amp;TEXT(J18,"$#,##0")&amp;"/wk)","HOLD - need "&amp;TEXT(H18-I18,"$#,##0")&amp;"/wk more demand"),"")</f>
        <v/>
      </c>
    </row>
    <row r="19">
      <c r="F19">
        <f>IFERROR(B19+C19+D19+E19,"")</f>
        <v/>
      </c>
      <c r="H19">
        <f>IFERROR(IF(G19=0,0,F19/G19),"")</f>
        <v/>
      </c>
      <c r="J19">
        <f>IFERROR((I19*G19)-F19,"")</f>
        <v/>
      </c>
      <c r="K19">
        <f>IFERROR(IF(I19&gt;=H19,"GO - profitable from week one (+"&amp;TEXT(J19,"$#,##0")&amp;"/wk)","HOLD - need "&amp;TEXT(H19-I19,"$#,##0")&amp;"/wk more demand"),"")</f>
        <v/>
      </c>
    </row>
    <row r="20">
      <c r="F20">
        <f>IFERROR(B20+C20+D20+E20,"")</f>
        <v/>
      </c>
      <c r="H20">
        <f>IFERROR(IF(G20=0,0,F20/G20),"")</f>
        <v/>
      </c>
      <c r="J20">
        <f>IFERROR((I20*G20)-F20,"")</f>
        <v/>
      </c>
      <c r="K20">
        <f>IFERROR(IF(I20&gt;=H20,"GO - profitable from week one (+"&amp;TEXT(J20,"$#,##0")&amp;"/wk)","HOLD - need "&amp;TEXT(H20-I20,"$#,##0")&amp;"/wk more demand"),"")</f>
        <v/>
      </c>
    </row>
    <row r="21">
      <c r="F21">
        <f>IFERROR(B21+C21+D21+E21,"")</f>
        <v/>
      </c>
      <c r="H21">
        <f>IFERROR(IF(G21=0,0,F21/G21),"")</f>
        <v/>
      </c>
      <c r="J21">
        <f>IFERROR((I21*G21)-F21,"")</f>
        <v/>
      </c>
      <c r="K21">
        <f>IFERROR(IF(I21&gt;=H21,"GO - profitable from week one (+"&amp;TEXT(J21,"$#,##0")&amp;"/wk)","HOLD - need "&amp;TEXT(H21-I21,"$#,##0")&amp;"/wk more demand"),"")</f>
        <v/>
      </c>
    </row>
    <row r="22">
      <c r="F22">
        <f>IFERROR(B22+C22+D22+E22,"")</f>
        <v/>
      </c>
      <c r="H22">
        <f>IFERROR(IF(G22=0,0,F22/G22),"")</f>
        <v/>
      </c>
      <c r="J22">
        <f>IFERROR((I22*G22)-F22,"")</f>
        <v/>
      </c>
      <c r="K22">
        <f>IFERROR(IF(I22&gt;=H22,"GO - profitable from week one (+"&amp;TEXT(J22,"$#,##0")&amp;"/wk)","HOLD - need "&amp;TEXT(H22-I22,"$#,##0")&amp;"/wk more demand"),"")</f>
        <v/>
      </c>
    </row>
    <row r="23">
      <c r="F23">
        <f>IFERROR(B23+C23+D23+E23,"")</f>
        <v/>
      </c>
      <c r="H23">
        <f>IFERROR(IF(G23=0,0,F23/G23),"")</f>
        <v/>
      </c>
      <c r="J23">
        <f>IFERROR((I23*G23)-F23,"")</f>
        <v/>
      </c>
      <c r="K23">
        <f>IFERROR(IF(I23&gt;=H23,"GO - profitable from week one (+"&amp;TEXT(J23,"$#,##0")&amp;"/wk)","HOLD - need "&amp;TEXT(H23-I23,"$#,##0")&amp;"/wk more demand"),"")</f>
        <v/>
      </c>
    </row>
    <row r="24">
      <c r="F24">
        <f>IFERROR(B24+C24+D24+E24,"")</f>
        <v/>
      </c>
      <c r="H24">
        <f>IFERROR(IF(G24=0,0,F24/G24),"")</f>
        <v/>
      </c>
      <c r="J24">
        <f>IFERROR((I24*G24)-F24,"")</f>
        <v/>
      </c>
      <c r="K24">
        <f>IFERROR(IF(I24&gt;=H24,"GO - profitable from week one (+"&amp;TEXT(J24,"$#,##0")&amp;"/wk)","HOLD - need "&amp;TEXT(H24-I24,"$#,##0")&amp;"/wk more demand"),"")</f>
        <v/>
      </c>
    </row>
  </sheetData>
  <mergeCells count="1">
    <mergeCell ref="A1:K3"/>
  </mergeCells>
  <conditionalFormatting sqref="J6:J24">
    <cfRule type="cellIs" priority="1" operator="greaterThan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24" customWidth="1" min="4" max="4"/>
    <col width="21" customWidth="1" min="5" max="5"/>
    <col width="21" customWidth="1" min="6" max="6"/>
    <col width="33" customWidth="1" min="7" max="7"/>
    <col width="16" customWidth="1" min="8" max="8"/>
    <col width="16" customWidth="1" min="9" max="9"/>
  </cols>
  <sheetData>
    <row r="1">
      <c r="A1" s="1" t="inlineStr">
        <is>
          <t>AI INSIGHT SUMMARY:
You have turned away an estimated $3,150/week in jobs averaged over the last 6 weeks, and turned-away revenue has exceeded your new-crew breakeven of $2,400/week for 5 consecutive weeks. A second crew would be cash-flow positive from week one based on current demand. Crew utilization has held above 92% for 7 straight weeks, confirming the turn-aways are a genuine capacity wall and not a seasonal spike. The Expansion Decision tab now reads GO: expanding captures roughly $750/week in net profit above breakeven. Delaying one more month leaves an estimated $12,600 in capturable revenue on the table.</t>
        </is>
      </c>
    </row>
    <row r="2"/>
    <row r="3"/>
    <row r="4"/>
    <row r="5">
      <c r="A5" s="2" t="inlineStr">
        <is>
          <t>Metric Window</t>
        </is>
      </c>
      <c r="B5" s="2" t="inlineStr">
        <is>
          <t>Rolling Avg Turned Away Revenue</t>
        </is>
      </c>
      <c r="C5" s="2" t="inlineStr">
        <is>
          <t>Weeks Above Breakeven</t>
        </is>
      </c>
      <c r="D5" s="2" t="inlineStr">
        <is>
          <t>Avg Crew Utilization %</t>
        </is>
      </c>
      <c r="E5" s="2" t="inlineStr">
        <is>
          <t>Breakeven Threshold</t>
        </is>
      </c>
      <c r="F5" s="2" t="inlineStr">
        <is>
          <t>Capturable Margin %</t>
        </is>
      </c>
      <c r="G5" s="2" t="inlineStr">
        <is>
          <t>Estimated Monthly Left On Table</t>
        </is>
      </c>
      <c r="H5" s="2" t="inlineStr">
        <is>
          <t>Decision Score</t>
        </is>
      </c>
      <c r="I5" s="2" t="inlineStr">
        <is>
          <t>Final Verdict</t>
        </is>
      </c>
    </row>
    <row r="6">
      <c r="A6" t="inlineStr">
        <is>
          <t>Last 6 Weeks</t>
        </is>
      </c>
      <c r="B6" t="n">
        <v>3287</v>
      </c>
      <c r="C6" t="n">
        <v>5</v>
      </c>
      <c r="D6" t="n">
        <v>0.95</v>
      </c>
      <c r="E6" t="n">
        <v>2400</v>
      </c>
      <c r="F6" t="n">
        <v>0.55</v>
      </c>
      <c r="G6">
        <f>IFERROR(B6*F6*4,"")</f>
        <v/>
      </c>
      <c r="H6">
        <f>IFERROR(IF(B6&gt;=E6,1,0)+IF(C6&gt;=4,1,0)+IF(D6&gt;=0.9,1,0),"")</f>
        <v/>
      </c>
      <c r="I6">
        <f>IFERROR(IF(H6&gt;=3,"GO - expand now, capturing "&amp;TEXT(G6,"$#,##0")&amp;"/mo in margin",IF(H6=2,"NEARLY - one more strong week confirms expansion","NO-GO - capacity not yet a constraint")),"")</f>
        <v/>
      </c>
    </row>
    <row r="7">
      <c r="A7" t="inlineStr">
        <is>
          <t>Last 4 Weeks</t>
        </is>
      </c>
      <c r="B7" t="n">
        <v>3590</v>
      </c>
      <c r="C7" t="n">
        <v>4</v>
      </c>
      <c r="D7" t="n">
        <v>0.96</v>
      </c>
      <c r="E7" t="n">
        <v>2400</v>
      </c>
      <c r="F7" t="n">
        <v>0.55</v>
      </c>
      <c r="G7">
        <f>IFERROR(B7*F7*4,"")</f>
        <v/>
      </c>
      <c r="H7">
        <f>IFERROR(IF(B7&gt;=E7,1,0)+IF(C7&gt;=4,1,0)+IF(D7&gt;=0.9,1,0),"")</f>
        <v/>
      </c>
      <c r="I7">
        <f>IFERROR(IF(H7&gt;=3,"GO - expand now, capturing "&amp;TEXT(G7,"$#,##0")&amp;"/mo in margin",IF(H7=2,"NEARLY - one more strong week confirms expansion","NO-GO - capacity not yet a constraint")),"")</f>
        <v/>
      </c>
    </row>
    <row r="8">
      <c r="A8" t="inlineStr">
        <is>
          <t>Last 8 Weeks</t>
        </is>
      </c>
      <c r="B8" t="n">
        <v>2980</v>
      </c>
      <c r="C8" t="n">
        <v>6</v>
      </c>
      <c r="D8" t="n">
        <v>0.93</v>
      </c>
      <c r="E8" t="n">
        <v>2400</v>
      </c>
      <c r="F8" t="n">
        <v>0.55</v>
      </c>
      <c r="G8">
        <f>IFERROR(B8*F8*4,"")</f>
        <v/>
      </c>
      <c r="H8">
        <f>IFERROR(IF(B8&gt;=E8,1,0)+IF(C8&gt;=4,1,0)+IF(D8&gt;=0.9,1,0),"")</f>
        <v/>
      </c>
      <c r="I8">
        <f>IFERROR(IF(H8&gt;=3,"GO - expand now, capturing "&amp;TEXT(G8,"$#,##0")&amp;"/mo in margin",IF(H8=2,"NEARLY - one more strong week confirms expansion","NO-GO - capacity not yet a constraint")),"")</f>
        <v/>
      </c>
    </row>
    <row r="9">
      <c r="A9" t="inlineStr">
        <is>
          <t>Trailing 12 Weeks</t>
        </is>
      </c>
      <c r="B9" t="n">
        <v>2250</v>
      </c>
      <c r="C9" t="n">
        <v>3</v>
      </c>
      <c r="D9" t="n">
        <v>0.88</v>
      </c>
      <c r="E9" t="n">
        <v>2400</v>
      </c>
      <c r="F9" t="n">
        <v>0.55</v>
      </c>
      <c r="G9">
        <f>IFERROR(B9*F9*4,"")</f>
        <v/>
      </c>
      <c r="H9">
        <f>IFERROR(IF(B9&gt;=E9,1,0)+IF(C9&gt;=4,1,0)+IF(D9&gt;=0.9,1,0),"")</f>
        <v/>
      </c>
      <c r="I9">
        <f>IFERROR(IF(H9&gt;=3,"GO - expand now, capturing "&amp;TEXT(G9,"$#,##0")&amp;"/mo in margin",IF(H9=2,"NEARLY - one more strong week confirms expansion","NO-GO - capacity not yet a constraint")),"")</f>
        <v/>
      </c>
    </row>
    <row r="10">
      <c r="G10">
        <f>IFERROR(B10*F10*4,"")</f>
        <v/>
      </c>
      <c r="H10">
        <f>IFERROR(IF(B10&gt;=E10,1,0)+IF(C10&gt;=4,1,0)+IF(D10&gt;=0.9,1,0),"")</f>
        <v/>
      </c>
      <c r="I10">
        <f>IFERROR(IF(H10&gt;=3,"GO - expand now, capturing "&amp;TEXT(G10,"$#,##0")&amp;"/mo in margin",IF(H10=2,"NEARLY - one more strong week confirms expansion","NO-GO - capacity not yet a constraint")),"")</f>
        <v/>
      </c>
    </row>
    <row r="11">
      <c r="G11">
        <f>IFERROR(B11*F11*4,"")</f>
        <v/>
      </c>
      <c r="H11">
        <f>IFERROR(IF(B11&gt;=E11,1,0)+IF(C11&gt;=4,1,0)+IF(D11&gt;=0.9,1,0),"")</f>
        <v/>
      </c>
      <c r="I11">
        <f>IFERROR(IF(H11&gt;=3,"GO - expand now, capturing "&amp;TEXT(G11,"$#,##0")&amp;"/mo in margin",IF(H11=2,"NEARLY - one more strong week confirms expansion","NO-GO - capacity not yet a constraint")),"")</f>
        <v/>
      </c>
    </row>
    <row r="12">
      <c r="G12">
        <f>IFERROR(B12*F12*4,"")</f>
        <v/>
      </c>
      <c r="H12">
        <f>IFERROR(IF(B12&gt;=E12,1,0)+IF(C12&gt;=4,1,0)+IF(D12&gt;=0.9,1,0),"")</f>
        <v/>
      </c>
      <c r="I12">
        <f>IFERROR(IF(H12&gt;=3,"GO - expand now, capturing "&amp;TEXT(G12,"$#,##0")&amp;"/mo in margin",IF(H12=2,"NEARLY - one more strong week confirms expansion","NO-GO - capacity not yet a constraint")),"")</f>
        <v/>
      </c>
    </row>
    <row r="13">
      <c r="G13">
        <f>IFERROR(B13*F13*4,"")</f>
        <v/>
      </c>
      <c r="H13">
        <f>IFERROR(IF(B13&gt;=E13,1,0)+IF(C13&gt;=4,1,0)+IF(D13&gt;=0.9,1,0),"")</f>
        <v/>
      </c>
      <c r="I13">
        <f>IFERROR(IF(H13&gt;=3,"GO - expand now, capturing "&amp;TEXT(G13,"$#,##0")&amp;"/mo in margin",IF(H13=2,"NEARLY - one more strong week confirms expansion","NO-GO - capacity not yet a constraint")),"")</f>
        <v/>
      </c>
    </row>
    <row r="14">
      <c r="G14">
        <f>IFERROR(B14*F14*4,"")</f>
        <v/>
      </c>
      <c r="H14">
        <f>IFERROR(IF(B14&gt;=E14,1,0)+IF(C14&gt;=4,1,0)+IF(D14&gt;=0.9,1,0),"")</f>
        <v/>
      </c>
      <c r="I14">
        <f>IFERROR(IF(H14&gt;=3,"GO - expand now, capturing "&amp;TEXT(G14,"$#,##0")&amp;"/mo in margin",IF(H14=2,"NEARLY - one more strong week confirms expansion","NO-GO - capacity not yet a constraint")),"")</f>
        <v/>
      </c>
    </row>
    <row r="15">
      <c r="G15">
        <f>IFERROR(B15*F15*4,"")</f>
        <v/>
      </c>
      <c r="H15">
        <f>IFERROR(IF(B15&gt;=E15,1,0)+IF(C15&gt;=4,1,0)+IF(D15&gt;=0.9,1,0),"")</f>
        <v/>
      </c>
      <c r="I15">
        <f>IFERROR(IF(H15&gt;=3,"GO - expand now, capturing "&amp;TEXT(G15,"$#,##0")&amp;"/mo in margin",IF(H15=2,"NEARLY - one more strong week confirms expansion","NO-GO - capacity not yet a constraint")),"")</f>
        <v/>
      </c>
    </row>
    <row r="16">
      <c r="G16">
        <f>IFERROR(B16*F16*4,"")</f>
        <v/>
      </c>
      <c r="H16">
        <f>IFERROR(IF(B16&gt;=E16,1,0)+IF(C16&gt;=4,1,0)+IF(D16&gt;=0.9,1,0),"")</f>
        <v/>
      </c>
      <c r="I16">
        <f>IFERROR(IF(H16&gt;=3,"GO - expand now, capturing "&amp;TEXT(G16,"$#,##0")&amp;"/mo in margin",IF(H16=2,"NEARLY - one more strong week confirms expansion","NO-GO - capacity not yet a constraint")),"")</f>
        <v/>
      </c>
    </row>
    <row r="17">
      <c r="G17">
        <f>IFERROR(B17*F17*4,"")</f>
        <v/>
      </c>
      <c r="H17">
        <f>IFERROR(IF(B17&gt;=E17,1,0)+IF(C17&gt;=4,1,0)+IF(D17&gt;=0.9,1,0),"")</f>
        <v/>
      </c>
      <c r="I17">
        <f>IFERROR(IF(H17&gt;=3,"GO - expand now, capturing "&amp;TEXT(G17,"$#,##0")&amp;"/mo in margin",IF(H17=2,"NEARLY - one more strong week confirms expansion","NO-GO - capacity not yet a constraint")),"")</f>
        <v/>
      </c>
    </row>
    <row r="18">
      <c r="G18">
        <f>IFERROR(B18*F18*4,"")</f>
        <v/>
      </c>
      <c r="H18">
        <f>IFERROR(IF(B18&gt;=E18,1,0)+IF(C18&gt;=4,1,0)+IF(D18&gt;=0.9,1,0),"")</f>
        <v/>
      </c>
      <c r="I18">
        <f>IFERROR(IF(H18&gt;=3,"GO - expand now, capturing "&amp;TEXT(G18,"$#,##0")&amp;"/mo in margin",IF(H18=2,"NEARLY - one more strong week confirms expansion","NO-GO - capacity not yet a constraint")),"")</f>
        <v/>
      </c>
    </row>
    <row r="19">
      <c r="G19">
        <f>IFERROR(B19*F19*4,"")</f>
        <v/>
      </c>
      <c r="H19">
        <f>IFERROR(IF(B19&gt;=E19,1,0)+IF(C19&gt;=4,1,0)+IF(D19&gt;=0.9,1,0),"")</f>
        <v/>
      </c>
      <c r="I19">
        <f>IFERROR(IF(H19&gt;=3,"GO - expand now, capturing "&amp;TEXT(G19,"$#,##0")&amp;"/mo in margin",IF(H19=2,"NEARLY - one more strong week confirms expansion","NO-GO - capacity not yet a constraint")),"")</f>
        <v/>
      </c>
    </row>
    <row r="20">
      <c r="G20">
        <f>IFERROR(B20*F20*4,"")</f>
        <v/>
      </c>
      <c r="H20">
        <f>IFERROR(IF(B20&gt;=E20,1,0)+IF(C20&gt;=4,1,0)+IF(D20&gt;=0.9,1,0),"")</f>
        <v/>
      </c>
      <c r="I20">
        <f>IFERROR(IF(H20&gt;=3,"GO - expand now, capturing "&amp;TEXT(G20,"$#,##0")&amp;"/mo in margin",IF(H20=2,"NEARLY - one more strong week confirms expansion","NO-GO - capacity not yet a constraint")),"")</f>
        <v/>
      </c>
    </row>
    <row r="21">
      <c r="G21">
        <f>IFERROR(B21*F21*4,"")</f>
        <v/>
      </c>
      <c r="H21">
        <f>IFERROR(IF(B21&gt;=E21,1,0)+IF(C21&gt;=4,1,0)+IF(D21&gt;=0.9,1,0),"")</f>
        <v/>
      </c>
      <c r="I21">
        <f>IFERROR(IF(H21&gt;=3,"GO - expand now, capturing "&amp;TEXT(G21,"$#,##0")&amp;"/mo in margin",IF(H21=2,"NEARLY - one more strong week confirms expansion","NO-GO - capacity not yet a constraint")),"")</f>
        <v/>
      </c>
    </row>
    <row r="22">
      <c r="G22">
        <f>IFERROR(B22*F22*4,"")</f>
        <v/>
      </c>
      <c r="H22">
        <f>IFERROR(IF(B22&gt;=E22,1,0)+IF(C22&gt;=4,1,0)+IF(D22&gt;=0.9,1,0),"")</f>
        <v/>
      </c>
      <c r="I22">
        <f>IFERROR(IF(H22&gt;=3,"GO - expand now, capturing "&amp;TEXT(G22,"$#,##0")&amp;"/mo in margin",IF(H22=2,"NEARLY - one more strong week confirms expansion","NO-GO - capacity not yet a constraint")),"")</f>
        <v/>
      </c>
    </row>
    <row r="23">
      <c r="G23">
        <f>IFERROR(B23*F23*4,"")</f>
        <v/>
      </c>
      <c r="H23">
        <f>IFERROR(IF(B23&gt;=E23,1,0)+IF(C23&gt;=4,1,0)+IF(D23&gt;=0.9,1,0),"")</f>
        <v/>
      </c>
      <c r="I23">
        <f>IFERROR(IF(H23&gt;=3,"GO - expand now, capturing "&amp;TEXT(G23,"$#,##0")&amp;"/mo in margin",IF(H23=2,"NEARLY - one more strong week confirms expansion","NO-GO - capacity not yet a constraint")),"")</f>
        <v/>
      </c>
    </row>
    <row r="24">
      <c r="G24">
        <f>IFERROR(B24*F24*4,"")</f>
        <v/>
      </c>
      <c r="H24">
        <f>IFERROR(IF(B24&gt;=E24,1,0)+IF(C24&gt;=4,1,0)+IF(D24&gt;=0.9,1,0),"")</f>
        <v/>
      </c>
      <c r="I24">
        <f>IFERROR(IF(H24&gt;=3,"GO - expand now, capturing "&amp;TEXT(G24,"$#,##0")&amp;"/mo in margin",IF(H24=2,"NEARLY - one more strong week confirms expansion","NO-GO - capacity not yet a constraint")),"")</f>
        <v/>
      </c>
    </row>
  </sheetData>
  <mergeCells count="1">
    <mergeCell ref="A1:I3"/>
  </mergeCells>
  <conditionalFormatting sqref="H6:H24">
    <cfRule type="cellIs" priority="1" operator="greaterThan" dxfId="1">
      <formula>2</formula>
    </cfRule>
    <cfRule type="cellIs" priority="2" operator="equal" dxfId="2">
      <formula>2</formula>
    </cfRule>
    <cfRule type="cellIs" priority="3" operator="lessThan" dxfId="0">
      <formula>2</formula>
    </cfRule>
  </conditionalFormatting>
  <conditionalFormatting sqref="D6:D24">
    <cfRule type="cellIs" priority="4" operator="greaterThan" dxfId="0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2026-06-29T03:00:04Z</dcterms:created>
  <dcterms:modified xsi:type="dcterms:W3CDTF">2026-06-29T03:44:05Z</dcterms:modified>
</cp:coreProperties>
</file>