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Comparison" sheetId="1" state="visible" r:id="rId1"/>
    <sheet name="Sensitivity Stress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5" customWidth="1" min="4" max="4"/>
    <col width="19" customWidth="1" min="5" max="5"/>
    <col width="12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8" customWidth="1" min="13" max="13"/>
    <col width="13" customWidth="1" min="14" max="14"/>
    <col width="24" customWidth="1" min="15" max="15"/>
    <col width="15" customWidth="1" min="16" max="16"/>
    <col width="16" customWidth="1" min="17" max="17"/>
    <col width="16" customWidth="1" min="18" max="18"/>
    <col width="16" customWidth="1" min="19" max="19"/>
    <col width="22" customWidth="1" min="20" max="20"/>
    <col width="17" customWidth="1" min="21" max="21"/>
    <col width="21" customWidth="1" min="22" max="22"/>
    <col width="16" customWidth="1" min="23" max="23"/>
    <col width="16" customWidth="1" min="24" max="24"/>
    <col width="23" customWidth="1" min="25" max="25"/>
    <col width="24" customWidth="1" min="26" max="26"/>
    <col width="16" customWidth="1" min="27" max="27"/>
  </cols>
  <sheetData>
    <row r="1">
      <c r="A1" s="1" t="inlineStr">
        <is>
          <t>AI INSIGHT SUMMARY:
Deal B carries a DSCR of 1.18x, below the 1.25x most commercial lenders require, and its price/SqFt of $214 sits 12% above the submarket median of $191 - the financing will not pencil at this price; negotiate toward $1.95M or pass. Deal A clears every lender hurdle with a 1.42x DSCR and a 7.8% cash-on-cash return, making it the strongest cash-flow play in this set. Deal C's break-even occupancy of 91% leaves almost no vacancy cushion, so a single tenant move-out flips it to negative cash flow. Across the portfolio, NNN deals show stronger net margins because tenants absorb operating expenses, while the Full-Service Gross deal (Deal D) loses 1.1 points of cap rate to landlord-paid expenses. Prioritize Deal A for acquisition, re-trade Deal B, and treat Deal C as a high-risk hold.</t>
        </is>
      </c>
    </row>
    <row r="2"/>
    <row r="3"/>
    <row r="5">
      <c r="A5" s="2" t="inlineStr">
        <is>
          <t>Property Name</t>
        </is>
      </c>
      <c r="B5" s="2" t="inlineStr">
        <is>
          <t>Asset Type</t>
        </is>
      </c>
      <c r="C5" s="2" t="inlineStr">
        <is>
          <t>Square Footage</t>
        </is>
      </c>
      <c r="D5" s="2" t="inlineStr">
        <is>
          <t>Purchase Price</t>
        </is>
      </c>
      <c r="E5" s="2" t="inlineStr">
        <is>
          <t>Gross Rental Income</t>
        </is>
      </c>
      <c r="F5" s="2" t="inlineStr">
        <is>
          <t>Vacancy %</t>
        </is>
      </c>
      <c r="G5" s="2" t="inlineStr">
        <is>
          <t>Operating Expenses</t>
        </is>
      </c>
      <c r="H5" s="2" t="inlineStr">
        <is>
          <t>Capital Reserve $/SqFt</t>
        </is>
      </c>
      <c r="I5" s="2" t="inlineStr">
        <is>
          <t>Management Fee %</t>
        </is>
      </c>
      <c r="J5" s="2" t="inlineStr">
        <is>
          <t>Lease Type</t>
        </is>
      </c>
      <c r="K5" s="2" t="inlineStr">
        <is>
          <t>Loan Amount</t>
        </is>
      </c>
      <c r="L5" s="2" t="inlineStr">
        <is>
          <t>Interest Rate</t>
        </is>
      </c>
      <c r="M5" s="2" t="inlineStr">
        <is>
          <t>Amortization Years</t>
        </is>
      </c>
      <c r="N5" s="2" t="inlineStr">
        <is>
          <t>Target DSCR</t>
        </is>
      </c>
      <c r="O5" s="2" t="inlineStr">
        <is>
          <t>Benchmark Price Per SqFt</t>
        </is>
      </c>
      <c r="P5" s="2" t="inlineStr">
        <is>
          <t>Investor Goal</t>
        </is>
      </c>
      <c r="Q5" s="2" t="inlineStr">
        <is>
          <t>Effective Gross Income</t>
        </is>
      </c>
      <c r="R5" s="2" t="inlineStr">
        <is>
          <t>Landlord Op Ex Responsibility</t>
        </is>
      </c>
      <c r="S5" s="2" t="inlineStr">
        <is>
          <t>Capital Reserve</t>
        </is>
      </c>
      <c r="T5" s="2" t="inlineStr">
        <is>
          <t>Management Fee</t>
        </is>
      </c>
      <c r="U5" s="2" t="inlineStr">
        <is>
          <t>NOI</t>
        </is>
      </c>
      <c r="V5" s="2" t="inlineStr">
        <is>
          <t>Cap Rate %</t>
        </is>
      </c>
      <c r="W5" s="2" t="inlineStr">
        <is>
          <t>Price Per SqFt</t>
        </is>
      </c>
      <c r="X5" s="2" t="inlineStr">
        <is>
          <t>Price vs Benchmark %</t>
        </is>
      </c>
      <c r="Y5" s="2" t="inlineStr">
        <is>
          <t>Loan Constant %</t>
        </is>
      </c>
      <c r="Z5" s="2" t="inlineStr">
        <is>
          <t>Annual Debt Service</t>
        </is>
      </c>
      <c r="AA5" s="2" t="inlineStr">
        <is>
          <t>DSCR</t>
        </is>
      </c>
      <c r="AB5" s="2" t="inlineStr">
        <is>
          <t>Cash Invested</t>
        </is>
      </c>
      <c r="AC5" s="2" t="inlineStr">
        <is>
          <t>Cash-on-Cash Return %</t>
        </is>
      </c>
      <c r="AD5" s="2" t="inlineStr">
        <is>
          <t>Break-Even Occupancy %</t>
        </is>
      </c>
      <c r="AE5" s="2" t="inlineStr">
        <is>
          <t>Verdict</t>
        </is>
      </c>
    </row>
    <row r="6">
      <c r="A6" t="inlineStr">
        <is>
          <t>Maple Plaza Retail</t>
        </is>
      </c>
      <c r="B6" t="inlineStr">
        <is>
          <t>Retail</t>
        </is>
      </c>
      <c r="C6" t="n">
        <v>12000</v>
      </c>
      <c r="D6" t="n">
        <v>2100000</v>
      </c>
      <c r="E6" t="n">
        <v>198000</v>
      </c>
      <c r="F6" t="n">
        <v>0.05</v>
      </c>
      <c r="G6" t="n">
        <v>42000</v>
      </c>
      <c r="H6" t="n">
        <v>0.2</v>
      </c>
      <c r="I6" t="n">
        <v>0.04</v>
      </c>
      <c r="J6" t="inlineStr">
        <is>
          <t>NNN</t>
        </is>
      </c>
      <c r="K6" t="n">
        <v>1470000</v>
      </c>
      <c r="L6" t="n">
        <v>0.07199999999999999</v>
      </c>
      <c r="M6" t="n">
        <v>25</v>
      </c>
      <c r="N6" t="n">
        <v>1.25</v>
      </c>
      <c r="O6" t="n">
        <v>191</v>
      </c>
      <c r="P6" t="inlineStr">
        <is>
          <t>Cash Flow</t>
        </is>
      </c>
      <c r="Q6">
        <f>IFERROR(E6*(1-F6),"")</f>
        <v/>
      </c>
      <c r="R6">
        <f>IFERROR(IF(J6="NNN",G6*0.05,IF(J6="Modified Gross",G6*0.5,G6)),"")</f>
        <v/>
      </c>
      <c r="S6">
        <f>IFERROR(H6*C6,"")</f>
        <v/>
      </c>
      <c r="T6">
        <f>IFERROR(I6*Q6,"")</f>
        <v/>
      </c>
      <c r="U6">
        <f>IFERROR(Q6-R6-S6-T6,"")</f>
        <v/>
      </c>
      <c r="V6">
        <f>IFERROR(U6/D6,"")</f>
        <v/>
      </c>
      <c r="W6">
        <f>IFERROR(D6/C6,"")</f>
        <v/>
      </c>
      <c r="X6">
        <f>IFERROR((W6-O6)/O6,"")</f>
        <v/>
      </c>
      <c r="Y6">
        <f>IFERROR(((L6/12)/(1-(1+L6/12)^(-M6*12)))*12,"")</f>
        <v/>
      </c>
      <c r="Z6">
        <f>IFERROR(K6*Y6,"")</f>
        <v/>
      </c>
      <c r="AA6">
        <f>IFERROR(U6/Z6,"")</f>
        <v/>
      </c>
      <c r="AB6">
        <f>IFERROR(D6-K6,"")</f>
        <v/>
      </c>
      <c r="AC6">
        <f>IFERROR((U6-Z6)/AB6,"")</f>
        <v/>
      </c>
      <c r="AD6">
        <f>IFERROR((R6+S6+T6+Z6)/E6,"")</f>
        <v/>
      </c>
      <c r="AE6">
        <f>IFERROR(IF(OR(AA6&lt;N6,AD6&gt;0.95),IF(X6&gt;0.05,"Pass - underwater on DSCR and overpriced","Negotiate - financing too tight at this price"),IF(X6&gt;0.05,"Negotiate - price above submarket benchmark",IF(F6&gt;0.15,"Negotiate - high vacancy, underwrite lease-up first",IF(AND(P6="Cash Flow",AC6&lt;0.06),"Negotiate - cash flow below goal target","Buy - meets lender and goal thresholds")))),"")</f>
        <v/>
      </c>
    </row>
    <row r="7">
      <c r="A7" t="inlineStr">
        <is>
          <t>Riverside Office</t>
        </is>
      </c>
      <c r="B7" t="inlineStr">
        <is>
          <t>Office</t>
        </is>
      </c>
      <c r="C7" t="n">
        <v>15500</v>
      </c>
      <c r="D7" t="n">
        <v>2350000</v>
      </c>
      <c r="E7" t="n">
        <v>212000</v>
      </c>
      <c r="F7" t="n">
        <v>0.08</v>
      </c>
      <c r="G7" t="n">
        <v>68000</v>
      </c>
      <c r="H7" t="n">
        <v>0.25</v>
      </c>
      <c r="I7" t="n">
        <v>0.04</v>
      </c>
      <c r="J7" t="inlineStr">
        <is>
          <t>Modified Gross</t>
        </is>
      </c>
      <c r="K7" t="n">
        <v>1645000</v>
      </c>
      <c r="L7" t="n">
        <v>0.075</v>
      </c>
      <c r="M7" t="n">
        <v>25</v>
      </c>
      <c r="N7" t="n">
        <v>1.25</v>
      </c>
      <c r="O7" t="n">
        <v>191</v>
      </c>
      <c r="P7" t="inlineStr">
        <is>
          <t>Appreciation</t>
        </is>
      </c>
      <c r="Q7">
        <f>IFERROR(E7*(1-F7),"")</f>
        <v/>
      </c>
      <c r="R7">
        <f>IFERROR(IF(J7="NNN",G7*0.05,IF(J7="Modified Gross",G7*0.5,G7)),"")</f>
        <v/>
      </c>
      <c r="S7">
        <f>IFERROR(H7*C7,"")</f>
        <v/>
      </c>
      <c r="T7">
        <f>IFERROR(I7*Q7,"")</f>
        <v/>
      </c>
      <c r="U7">
        <f>IFERROR(Q7-R7-S7-T7,"")</f>
        <v/>
      </c>
      <c r="V7">
        <f>IFERROR(U7/D7,"")</f>
        <v/>
      </c>
      <c r="W7">
        <f>IFERROR(D7/C7,"")</f>
        <v/>
      </c>
      <c r="X7">
        <f>IFERROR((W7-O7)/O7,"")</f>
        <v/>
      </c>
      <c r="Y7">
        <f>IFERROR(((L7/12)/(1-(1+L7/12)^(-M7*12)))*12,"")</f>
        <v/>
      </c>
      <c r="Z7">
        <f>IFERROR(K7*Y7,"")</f>
        <v/>
      </c>
      <c r="AA7">
        <f>IFERROR(U7/Z7,"")</f>
        <v/>
      </c>
      <c r="AB7">
        <f>IFERROR(D7-K7,"")</f>
        <v/>
      </c>
      <c r="AC7">
        <f>IFERROR((U7-Z7)/AB7,"")</f>
        <v/>
      </c>
      <c r="AD7">
        <f>IFERROR((R7+S7+T7+Z7)/E7,"")</f>
        <v/>
      </c>
      <c r="AE7">
        <f>IFERROR(IF(OR(AA7&lt;N7,AD7&gt;0.95),IF(X7&gt;0.05,"Pass - underwater on DSCR and overpriced","Negotiate - financing too tight at this price"),IF(X7&gt;0.05,"Negotiate - price above submarket benchmark",IF(F7&gt;0.15,"Negotiate - high vacancy, underwrite lease-up first",IF(AND(P7="Cash Flow",AC7&lt;0.06),"Negotiate - cash flow below goal target","Buy - meets lender and goal thresholds")))),"")</f>
        <v/>
      </c>
    </row>
    <row r="8">
      <c r="A8" t="inlineStr">
        <is>
          <t>Industrial Park Unit C</t>
        </is>
      </c>
      <c r="B8" t="inlineStr">
        <is>
          <t>Industrial</t>
        </is>
      </c>
      <c r="C8" t="n">
        <v>22000</v>
      </c>
      <c r="D8" t="n">
        <v>1850000</v>
      </c>
      <c r="E8" t="n">
        <v>168000</v>
      </c>
      <c r="F8" t="n">
        <v>0.04</v>
      </c>
      <c r="G8" t="n">
        <v>38000</v>
      </c>
      <c r="H8" t="n">
        <v>0.15</v>
      </c>
      <c r="I8" t="n">
        <v>0.03</v>
      </c>
      <c r="J8" t="inlineStr">
        <is>
          <t>NNN</t>
        </is>
      </c>
      <c r="K8" t="n">
        <v>1295000</v>
      </c>
      <c r="L8" t="n">
        <v>0.06900000000000001</v>
      </c>
      <c r="M8" t="n">
        <v>25</v>
      </c>
      <c r="N8" t="n">
        <v>1.25</v>
      </c>
      <c r="O8" t="n">
        <v>88</v>
      </c>
      <c r="P8" t="inlineStr">
        <is>
          <t>Cash Flow</t>
        </is>
      </c>
      <c r="Q8">
        <f>IFERROR(E8*(1-F8),"")</f>
        <v/>
      </c>
      <c r="R8">
        <f>IFERROR(IF(J8="NNN",G8*0.05,IF(J8="Modified Gross",G8*0.5,G8)),"")</f>
        <v/>
      </c>
      <c r="S8">
        <f>IFERROR(H8*C8,"")</f>
        <v/>
      </c>
      <c r="T8">
        <f>IFERROR(I8*Q8,"")</f>
        <v/>
      </c>
      <c r="U8">
        <f>IFERROR(Q8-R8-S8-T8,"")</f>
        <v/>
      </c>
      <c r="V8">
        <f>IFERROR(U8/D8,"")</f>
        <v/>
      </c>
      <c r="W8">
        <f>IFERROR(D8/C8,"")</f>
        <v/>
      </c>
      <c r="X8">
        <f>IFERROR((W8-O8)/O8,"")</f>
        <v/>
      </c>
      <c r="Y8">
        <f>IFERROR(((L8/12)/(1-(1+L8/12)^(-M8*12)))*12,"")</f>
        <v/>
      </c>
      <c r="Z8">
        <f>IFERROR(K8*Y8,"")</f>
        <v/>
      </c>
      <c r="AA8">
        <f>IFERROR(U8/Z8,"")</f>
        <v/>
      </c>
      <c r="AB8">
        <f>IFERROR(D8-K8,"")</f>
        <v/>
      </c>
      <c r="AC8">
        <f>IFERROR((U8-Z8)/AB8,"")</f>
        <v/>
      </c>
      <c r="AD8">
        <f>IFERROR((R8+S8+T8+Z8)/E8,"")</f>
        <v/>
      </c>
      <c r="AE8">
        <f>IFERROR(IF(OR(AA8&lt;N8,AD8&gt;0.95),IF(X8&gt;0.05,"Pass - underwater on DSCR and overpriced","Negotiate - financing too tight at this price"),IF(X8&gt;0.05,"Negotiate - price above submarket benchmark",IF(F8&gt;0.15,"Negotiate - high vacancy, underwrite lease-up first",IF(AND(P8="Cash Flow",AC8&lt;0.06),"Negotiate - cash flow below goal target","Buy - meets lender and goal thresholds")))),"")</f>
        <v/>
      </c>
    </row>
    <row r="9">
      <c r="A9" t="inlineStr">
        <is>
          <t>Downtown Mixed-Use</t>
        </is>
      </c>
      <c r="B9" t="inlineStr">
        <is>
          <t>Mixed-Use</t>
        </is>
      </c>
      <c r="C9" t="n">
        <v>9800</v>
      </c>
      <c r="D9" t="n">
        <v>1650000</v>
      </c>
      <c r="E9" t="n">
        <v>156000</v>
      </c>
      <c r="F9" t="n">
        <v>0.07000000000000001</v>
      </c>
      <c r="G9" t="n">
        <v>71000</v>
      </c>
      <c r="H9" t="n">
        <v>0.25</v>
      </c>
      <c r="I9" t="n">
        <v>0.05</v>
      </c>
      <c r="J9" t="inlineStr">
        <is>
          <t>Full-Service Gross</t>
        </is>
      </c>
      <c r="K9" t="n">
        <v>1155000</v>
      </c>
      <c r="L9" t="n">
        <v>0.074</v>
      </c>
      <c r="M9" t="n">
        <v>25</v>
      </c>
      <c r="N9" t="n">
        <v>1.3</v>
      </c>
      <c r="O9" t="n">
        <v>175</v>
      </c>
      <c r="P9" t="inlineStr">
        <is>
          <t>Appreciation</t>
        </is>
      </c>
      <c r="Q9">
        <f>IFERROR(E9*(1-F9),"")</f>
        <v/>
      </c>
      <c r="R9">
        <f>IFERROR(IF(J9="NNN",G9*0.05,IF(J9="Modified Gross",G9*0.5,G9)),"")</f>
        <v/>
      </c>
      <c r="S9">
        <f>IFERROR(H9*C9,"")</f>
        <v/>
      </c>
      <c r="T9">
        <f>IFERROR(I9*Q9,"")</f>
        <v/>
      </c>
      <c r="U9">
        <f>IFERROR(Q9-R9-S9-T9,"")</f>
        <v/>
      </c>
      <c r="V9">
        <f>IFERROR(U9/D9,"")</f>
        <v/>
      </c>
      <c r="W9">
        <f>IFERROR(D9/C9,"")</f>
        <v/>
      </c>
      <c r="X9">
        <f>IFERROR((W9-O9)/O9,"")</f>
        <v/>
      </c>
      <c r="Y9">
        <f>IFERROR(((L9/12)/(1-(1+L9/12)^(-M9*12)))*12,"")</f>
        <v/>
      </c>
      <c r="Z9">
        <f>IFERROR(K9*Y9,"")</f>
        <v/>
      </c>
      <c r="AA9">
        <f>IFERROR(U9/Z9,"")</f>
        <v/>
      </c>
      <c r="AB9">
        <f>IFERROR(D9-K9,"")</f>
        <v/>
      </c>
      <c r="AC9">
        <f>IFERROR((U9-Z9)/AB9,"")</f>
        <v/>
      </c>
      <c r="AD9">
        <f>IFERROR((R9+S9+T9+Z9)/E9,"")</f>
        <v/>
      </c>
      <c r="AE9">
        <f>IFERROR(IF(OR(AA9&lt;N9,AD9&gt;0.95),IF(X9&gt;0.05,"Pass - underwater on DSCR and overpriced","Negotiate - financing too tight at this price"),IF(X9&gt;0.05,"Negotiate - price above submarket benchmark",IF(F9&gt;0.15,"Negotiate - high vacancy, underwrite lease-up first",IF(AND(P9="Cash Flow",AC9&lt;0.06),"Negotiate - cash flow below goal target","Buy - meets lender and goal thresholds")))),"")</f>
        <v/>
      </c>
    </row>
    <row r="10">
      <c r="A10" t="inlineStr">
        <is>
          <t>Eastgate Strip Center</t>
        </is>
      </c>
      <c r="B10" t="inlineStr">
        <is>
          <t>Retail</t>
        </is>
      </c>
      <c r="C10" t="n">
        <v>14200</v>
      </c>
      <c r="D10" t="n">
        <v>1980000</v>
      </c>
      <c r="E10" t="n">
        <v>176000</v>
      </c>
      <c r="F10" t="n">
        <v>0.06</v>
      </c>
      <c r="G10" t="n">
        <v>40000</v>
      </c>
      <c r="H10" t="n">
        <v>0.2</v>
      </c>
      <c r="I10" t="n">
        <v>0.04</v>
      </c>
      <c r="J10" t="inlineStr">
        <is>
          <t>NNN</t>
        </is>
      </c>
      <c r="K10" t="n">
        <v>1386000</v>
      </c>
      <c r="L10" t="n">
        <v>0.07099999999999999</v>
      </c>
      <c r="M10" t="n">
        <v>25</v>
      </c>
      <c r="N10" t="n">
        <v>1.25</v>
      </c>
      <c r="O10" t="n">
        <v>155</v>
      </c>
      <c r="P10" t="inlineStr">
        <is>
          <t>Cash Flow</t>
        </is>
      </c>
      <c r="Q10">
        <f>IFERROR(E10*(1-F10),"")</f>
        <v/>
      </c>
      <c r="R10">
        <f>IFERROR(IF(J10="NNN",G10*0.05,IF(J10="Modified Gross",G10*0.5,G10)),"")</f>
        <v/>
      </c>
      <c r="S10">
        <f>IFERROR(H10*C10,"")</f>
        <v/>
      </c>
      <c r="T10">
        <f>IFERROR(I10*Q10,"")</f>
        <v/>
      </c>
      <c r="U10">
        <f>IFERROR(Q10-R10-S10-T10,"")</f>
        <v/>
      </c>
      <c r="V10">
        <f>IFERROR(U10/D10,"")</f>
        <v/>
      </c>
      <c r="W10">
        <f>IFERROR(D10/C10,"")</f>
        <v/>
      </c>
      <c r="X10">
        <f>IFERROR((W10-O10)/O10,"")</f>
        <v/>
      </c>
      <c r="Y10">
        <f>IFERROR(((L10/12)/(1-(1+L10/12)^(-M10*12)))*12,"")</f>
        <v/>
      </c>
      <c r="Z10">
        <f>IFERROR(K10*Y10,"")</f>
        <v/>
      </c>
      <c r="AA10">
        <f>IFERROR(U10/Z10,"")</f>
        <v/>
      </c>
      <c r="AB10">
        <f>IFERROR(D10-K10,"")</f>
        <v/>
      </c>
      <c r="AC10">
        <f>IFERROR((U10-Z10)/AB10,"")</f>
        <v/>
      </c>
      <c r="AD10">
        <f>IFERROR((R10+S10+T10+Z10)/E10,"")</f>
        <v/>
      </c>
      <c r="AE10">
        <f>IFERROR(IF(OR(AA10&lt;N10,AD10&gt;0.95),IF(X10&gt;0.05,"Pass - underwater on DSCR and overpriced","Negotiate - financing too tight at this price"),IF(X10&gt;0.05,"Negotiate - price above submarket benchmark",IF(F10&gt;0.15,"Negotiate - high vacancy, underwrite lease-up first",IF(AND(P10="Cash Flow",AC10&lt;0.06),"Negotiate - cash flow below goal target","Buy - meets lender and goal thresholds")))),"")</f>
        <v/>
      </c>
    </row>
    <row r="11">
      <c r="Q11">
        <f>IFERROR(E11*(1-F11),"")</f>
        <v/>
      </c>
      <c r="R11">
        <f>IFERROR(IF(J11="NNN",G11*0.05,IF(J11="Modified Gross",G11*0.5,G11)),"")</f>
        <v/>
      </c>
      <c r="S11">
        <f>IFERROR(H11*C11,"")</f>
        <v/>
      </c>
      <c r="T11">
        <f>IFERROR(I11*Q11,"")</f>
        <v/>
      </c>
      <c r="U11">
        <f>IFERROR(Q11-R11-S11-T11,"")</f>
        <v/>
      </c>
      <c r="V11">
        <f>IFERROR(U11/D11,"")</f>
        <v/>
      </c>
      <c r="W11">
        <f>IFERROR(D11/C11,"")</f>
        <v/>
      </c>
      <c r="X11">
        <f>IFERROR((W11-O11)/O11,"")</f>
        <v/>
      </c>
      <c r="Y11">
        <f>IFERROR(((L11/12)/(1-(1+L11/12)^(-M11*12)))*12,"")</f>
        <v/>
      </c>
      <c r="Z11">
        <f>IFERROR(K11*Y11,"")</f>
        <v/>
      </c>
      <c r="AA11">
        <f>IFERROR(U11/Z11,"")</f>
        <v/>
      </c>
      <c r="AB11">
        <f>IFERROR(D11-K11,"")</f>
        <v/>
      </c>
      <c r="AC11">
        <f>IFERROR((U11-Z11)/AB11,"")</f>
        <v/>
      </c>
      <c r="AD11">
        <f>IFERROR((R11+S11+T11+Z11)/E11,"")</f>
        <v/>
      </c>
      <c r="AE11">
        <f>IFERROR(IF(OR(AA11&lt;N11,AD11&gt;0.95),IF(X11&gt;0.05,"Pass - underwater on DSCR and overpriced","Negotiate - financing too tight at this price"),IF(X11&gt;0.05,"Negotiate - price above submarket benchmark",IF(F11&gt;0.15,"Negotiate - high vacancy, underwrite lease-up first",IF(AND(P11="Cash Flow",AC11&lt;0.06),"Negotiate - cash flow below goal target","Buy - meets lender and goal thresholds")))),"")</f>
        <v/>
      </c>
    </row>
    <row r="12">
      <c r="Q12">
        <f>IFERROR(E12*(1-F12),"")</f>
        <v/>
      </c>
      <c r="R12">
        <f>IFERROR(IF(J12="NNN",G12*0.05,IF(J12="Modified Gross",G12*0.5,G12)),"")</f>
        <v/>
      </c>
      <c r="S12">
        <f>IFERROR(H12*C12,"")</f>
        <v/>
      </c>
      <c r="T12">
        <f>IFERROR(I12*Q12,"")</f>
        <v/>
      </c>
      <c r="U12">
        <f>IFERROR(Q12-R12-S12-T12,"")</f>
        <v/>
      </c>
      <c r="V12">
        <f>IFERROR(U12/D12,"")</f>
        <v/>
      </c>
      <c r="W12">
        <f>IFERROR(D12/C12,"")</f>
        <v/>
      </c>
      <c r="X12">
        <f>IFERROR((W12-O12)/O12,"")</f>
        <v/>
      </c>
      <c r="Y12">
        <f>IFERROR(((L12/12)/(1-(1+L12/12)^(-M12*12)))*12,"")</f>
        <v/>
      </c>
      <c r="Z12">
        <f>IFERROR(K12*Y12,"")</f>
        <v/>
      </c>
      <c r="AA12">
        <f>IFERROR(U12/Z12,"")</f>
        <v/>
      </c>
      <c r="AB12">
        <f>IFERROR(D12-K12,"")</f>
        <v/>
      </c>
      <c r="AC12">
        <f>IFERROR((U12-Z12)/AB12,"")</f>
        <v/>
      </c>
      <c r="AD12">
        <f>IFERROR((R12+S12+T12+Z12)/E12,"")</f>
        <v/>
      </c>
      <c r="AE12">
        <f>IFERROR(IF(OR(AA12&lt;N12,AD12&gt;0.95),IF(X12&gt;0.05,"Pass - underwater on DSCR and overpriced","Negotiate - financing too tight at this price"),IF(X12&gt;0.05,"Negotiate - price above submarket benchmark",IF(F12&gt;0.15,"Negotiate - high vacancy, underwrite lease-up first",IF(AND(P12="Cash Flow",AC12&lt;0.06),"Negotiate - cash flow below goal target","Buy - meets lender and goal thresholds")))),"")</f>
        <v/>
      </c>
    </row>
    <row r="13">
      <c r="O13">
        <f>IFERROR(E13*(1-F13),"")</f>
        <v/>
      </c>
      <c r="P13">
        <f>IFERROR(IF(H13="NNN",G13*0.05,IF(H13="Modified Gross",G13*0.5,G13)),"")</f>
        <v/>
      </c>
      <c r="Q13">
        <f>IFERROR(O13-P13,"")</f>
        <v/>
      </c>
      <c r="R13">
        <f>IFERROR(Q13/D13,"")</f>
        <v/>
      </c>
      <c r="S13">
        <f>IFERROR(D13/C13,"")</f>
        <v/>
      </c>
      <c r="T13">
        <f>IFERROR((S13-M13)/M13,"")</f>
        <v/>
      </c>
      <c r="U13">
        <f>IFERROR(((J13/12)/(1-(1+J13/12)^(-K13*12)))*12,"")</f>
        <v/>
      </c>
      <c r="V13">
        <f>IFERROR(I13*U13,"")</f>
        <v/>
      </c>
      <c r="W13">
        <f>IFERROR(Q13/V13,"")</f>
        <v/>
      </c>
      <c r="X13">
        <f>IFERROR(D13-I13,"")</f>
        <v/>
      </c>
      <c r="Y13">
        <f>IFERROR((Q13-V13)/X13,"")</f>
        <v/>
      </c>
      <c r="Z13">
        <f>IFERROR((P13+V13)/E13,"")</f>
        <v/>
      </c>
      <c r="AA13">
        <f>IFERROR(IF(OR(W13&lt;L13,Z13&gt;0.95),IF(T13&gt;0.05,"Pass - underwater on DSCR and overpriced","Negotiate - financing too tight at this price"),IF(T13&gt;0.05,"Negotiate - price above submarket benchmark",IF(AND(N13="Cash Flow",Y13&lt;0.06),"Negotiate - cash flow below goal target","Buy - meets lender and goal thresholds"))),"")</f>
        <v/>
      </c>
    </row>
    <row r="14">
      <c r="O14">
        <f>IFERROR(E14*(1-F14),"")</f>
        <v/>
      </c>
      <c r="P14">
        <f>IFERROR(IF(H14="NNN",G14*0.05,IF(H14="Modified Gross",G14*0.5,G14)),"")</f>
        <v/>
      </c>
      <c r="Q14">
        <f>IFERROR(O14-P14,"")</f>
        <v/>
      </c>
      <c r="R14">
        <f>IFERROR(Q14/D14,"")</f>
        <v/>
      </c>
      <c r="S14">
        <f>IFERROR(D14/C14,"")</f>
        <v/>
      </c>
      <c r="T14">
        <f>IFERROR((S14-M14)/M14,"")</f>
        <v/>
      </c>
      <c r="U14">
        <f>IFERROR(((J14/12)/(1-(1+J14/12)^(-K14*12)))*12,"")</f>
        <v/>
      </c>
      <c r="V14">
        <f>IFERROR(I14*U14,"")</f>
        <v/>
      </c>
      <c r="W14">
        <f>IFERROR(Q14/V14,"")</f>
        <v/>
      </c>
      <c r="X14">
        <f>IFERROR(D14-I14,"")</f>
        <v/>
      </c>
      <c r="Y14">
        <f>IFERROR((Q14-V14)/X14,"")</f>
        <v/>
      </c>
      <c r="Z14">
        <f>IFERROR((P14+V14)/E14,"")</f>
        <v/>
      </c>
      <c r="AA14">
        <f>IFERROR(IF(OR(W14&lt;L14,Z14&gt;0.95),IF(T14&gt;0.05,"Pass - underwater on DSCR and overpriced","Negotiate - financing too tight at this price"),IF(T14&gt;0.05,"Negotiate - price above submarket benchmark",IF(AND(N14="Cash Flow",Y14&lt;0.06),"Negotiate - cash flow below goal target","Buy - meets lender and goal thresholds"))),"")</f>
        <v/>
      </c>
    </row>
    <row r="15">
      <c r="O15">
        <f>IFERROR(E15*(1-F15),"")</f>
        <v/>
      </c>
      <c r="P15">
        <f>IFERROR(IF(H15="NNN",G15*0.05,IF(H15="Modified Gross",G15*0.5,G15)),"")</f>
        <v/>
      </c>
      <c r="Q15">
        <f>IFERROR(O15-P15,"")</f>
        <v/>
      </c>
      <c r="R15">
        <f>IFERROR(Q15/D15,"")</f>
        <v/>
      </c>
      <c r="S15">
        <f>IFERROR(D15/C15,"")</f>
        <v/>
      </c>
      <c r="T15">
        <f>IFERROR((S15-M15)/M15,"")</f>
        <v/>
      </c>
      <c r="U15">
        <f>IFERROR(((J15/12)/(1-(1+J15/12)^(-K15*12)))*12,"")</f>
        <v/>
      </c>
      <c r="V15">
        <f>IFERROR(I15*U15,"")</f>
        <v/>
      </c>
      <c r="W15">
        <f>IFERROR(Q15/V15,"")</f>
        <v/>
      </c>
      <c r="X15">
        <f>IFERROR(D15-I15,"")</f>
        <v/>
      </c>
      <c r="Y15">
        <f>IFERROR((Q15-V15)/X15,"")</f>
        <v/>
      </c>
      <c r="Z15">
        <f>IFERROR((P15+V15)/E15,"")</f>
        <v/>
      </c>
      <c r="AA15">
        <f>IFERROR(IF(OR(W15&lt;L15,Z15&gt;0.95),IF(T15&gt;0.05,"Pass - underwater on DSCR and overpriced","Negotiate - financing too tight at this price"),IF(T15&gt;0.05,"Negotiate - price above submarket benchmark",IF(AND(N15="Cash Flow",Y15&lt;0.06),"Negotiate - cash flow below goal target","Buy - meets lender and goal thresholds"))),"")</f>
        <v/>
      </c>
    </row>
    <row r="16">
      <c r="O16">
        <f>IFERROR(E16*(1-F16),"")</f>
        <v/>
      </c>
      <c r="P16">
        <f>IFERROR(IF(H16="NNN",G16*0.05,IF(H16="Modified Gross",G16*0.5,G16)),"")</f>
        <v/>
      </c>
      <c r="Q16">
        <f>IFERROR(O16-P16,"")</f>
        <v/>
      </c>
      <c r="R16">
        <f>IFERROR(Q16/D16,"")</f>
        <v/>
      </c>
      <c r="S16">
        <f>IFERROR(D16/C16,"")</f>
        <v/>
      </c>
      <c r="T16">
        <f>IFERROR((S16-M16)/M16,"")</f>
        <v/>
      </c>
      <c r="U16">
        <f>IFERROR(((J16/12)/(1-(1+J16/12)^(-K16*12)))*12,"")</f>
        <v/>
      </c>
      <c r="V16">
        <f>IFERROR(I16*U16,"")</f>
        <v/>
      </c>
      <c r="W16">
        <f>IFERROR(Q16/V16,"")</f>
        <v/>
      </c>
      <c r="X16">
        <f>IFERROR(D16-I16,"")</f>
        <v/>
      </c>
      <c r="Y16">
        <f>IFERROR((Q16-V16)/X16,"")</f>
        <v/>
      </c>
      <c r="Z16">
        <f>IFERROR((P16+V16)/E16,"")</f>
        <v/>
      </c>
      <c r="AA16">
        <f>IFERROR(IF(OR(W16&lt;L16,Z16&gt;0.95),IF(T16&gt;0.05,"Pass - underwater on DSCR and overpriced","Negotiate - financing too tight at this price"),IF(T16&gt;0.05,"Negotiate - price above submarket benchmark",IF(AND(N16="Cash Flow",Y16&lt;0.06),"Negotiate - cash flow below goal target","Buy - meets lender and goal thresholds"))),"")</f>
        <v/>
      </c>
    </row>
    <row r="17">
      <c r="O17">
        <f>IFERROR(E17*(1-F17),"")</f>
        <v/>
      </c>
      <c r="P17">
        <f>IFERROR(IF(H17="NNN",G17*0.05,IF(H17="Modified Gross",G17*0.5,G17)),"")</f>
        <v/>
      </c>
      <c r="Q17">
        <f>IFERROR(O17-P17,"")</f>
        <v/>
      </c>
      <c r="R17">
        <f>IFERROR(Q17/D17,"")</f>
        <v/>
      </c>
      <c r="S17">
        <f>IFERROR(D17/C17,"")</f>
        <v/>
      </c>
      <c r="T17">
        <f>IFERROR((S17-M17)/M17,"")</f>
        <v/>
      </c>
      <c r="U17">
        <f>IFERROR(((J17/12)/(1-(1+J17/12)^(-K17*12)))*12,"")</f>
        <v/>
      </c>
      <c r="V17">
        <f>IFERROR(I17*U17,"")</f>
        <v/>
      </c>
      <c r="W17">
        <f>IFERROR(Q17/V17,"")</f>
        <v/>
      </c>
      <c r="X17">
        <f>IFERROR(D17-I17,"")</f>
        <v/>
      </c>
      <c r="Y17">
        <f>IFERROR((Q17-V17)/X17,"")</f>
        <v/>
      </c>
      <c r="Z17">
        <f>IFERROR((P17+V17)/E17,"")</f>
        <v/>
      </c>
      <c r="AA17">
        <f>IFERROR(IF(OR(W17&lt;L17,Z17&gt;0.95),IF(T17&gt;0.05,"Pass - underwater on DSCR and overpriced","Negotiate - financing too tight at this price"),IF(T17&gt;0.05,"Negotiate - price above submarket benchmark",IF(AND(N17="Cash Flow",Y17&lt;0.06),"Negotiate - cash flow below goal target","Buy - meets lender and goal thresholds"))),"")</f>
        <v/>
      </c>
    </row>
    <row r="18">
      <c r="O18">
        <f>IFERROR(E18*(1-F18),"")</f>
        <v/>
      </c>
      <c r="P18">
        <f>IFERROR(IF(H18="NNN",G18*0.05,IF(H18="Modified Gross",G18*0.5,G18)),"")</f>
        <v/>
      </c>
      <c r="Q18">
        <f>IFERROR(O18-P18,"")</f>
        <v/>
      </c>
      <c r="R18">
        <f>IFERROR(Q18/D18,"")</f>
        <v/>
      </c>
      <c r="S18">
        <f>IFERROR(D18/C18,"")</f>
        <v/>
      </c>
      <c r="T18">
        <f>IFERROR((S18-M18)/M18,"")</f>
        <v/>
      </c>
      <c r="U18">
        <f>IFERROR(((J18/12)/(1-(1+J18/12)^(-K18*12)))*12,"")</f>
        <v/>
      </c>
      <c r="V18">
        <f>IFERROR(I18*U18,"")</f>
        <v/>
      </c>
      <c r="W18">
        <f>IFERROR(Q18/V18,"")</f>
        <v/>
      </c>
      <c r="X18">
        <f>IFERROR(D18-I18,"")</f>
        <v/>
      </c>
      <c r="Y18">
        <f>IFERROR((Q18-V18)/X18,"")</f>
        <v/>
      </c>
      <c r="Z18">
        <f>IFERROR((P18+V18)/E18,"")</f>
        <v/>
      </c>
      <c r="AA18">
        <f>IFERROR(IF(OR(W18&lt;L18,Z18&gt;0.95),IF(T18&gt;0.05,"Pass - underwater on DSCR and overpriced","Negotiate - financing too tight at this price"),IF(T18&gt;0.05,"Negotiate - price above submarket benchmark",IF(AND(N18="Cash Flow",Y18&lt;0.06),"Negotiate - cash flow below goal target","Buy - meets lender and goal thresholds"))),"")</f>
        <v/>
      </c>
    </row>
    <row r="19">
      <c r="O19">
        <f>IFERROR(E19*(1-F19),"")</f>
        <v/>
      </c>
      <c r="P19">
        <f>IFERROR(IF(H19="NNN",G19*0.05,IF(H19="Modified Gross",G19*0.5,G19)),"")</f>
        <v/>
      </c>
      <c r="Q19">
        <f>IFERROR(O19-P19,"")</f>
        <v/>
      </c>
      <c r="R19">
        <f>IFERROR(Q19/D19,"")</f>
        <v/>
      </c>
      <c r="S19">
        <f>IFERROR(D19/C19,"")</f>
        <v/>
      </c>
      <c r="T19">
        <f>IFERROR((S19-M19)/M19,"")</f>
        <v/>
      </c>
      <c r="U19">
        <f>IFERROR(((J19/12)/(1-(1+J19/12)^(-K19*12)))*12,"")</f>
        <v/>
      </c>
      <c r="V19">
        <f>IFERROR(I19*U19,"")</f>
        <v/>
      </c>
      <c r="W19">
        <f>IFERROR(Q19/V19,"")</f>
        <v/>
      </c>
      <c r="X19">
        <f>IFERROR(D19-I19,"")</f>
        <v/>
      </c>
      <c r="Y19">
        <f>IFERROR((Q19-V19)/X19,"")</f>
        <v/>
      </c>
      <c r="Z19">
        <f>IFERROR((P19+V19)/E19,"")</f>
        <v/>
      </c>
      <c r="AA19">
        <f>IFERROR(IF(OR(W19&lt;L19,Z19&gt;0.95),IF(T19&gt;0.05,"Pass - underwater on DSCR and overpriced","Negotiate - financing too tight at this price"),IF(T19&gt;0.05,"Negotiate - price above submarket benchmark",IF(AND(N19="Cash Flow",Y19&lt;0.06),"Negotiate - cash flow below goal target","Buy - meets lender and goal thresholds"))),"")</f>
        <v/>
      </c>
    </row>
    <row r="20">
      <c r="O20">
        <f>IFERROR(E20*(1-F20),"")</f>
        <v/>
      </c>
      <c r="P20">
        <f>IFERROR(IF(H20="NNN",G20*0.05,IF(H20="Modified Gross",G20*0.5,G20)),"")</f>
        <v/>
      </c>
      <c r="Q20">
        <f>IFERROR(O20-P20,"")</f>
        <v/>
      </c>
      <c r="R20">
        <f>IFERROR(Q20/D20,"")</f>
        <v/>
      </c>
      <c r="S20">
        <f>IFERROR(D20/C20,"")</f>
        <v/>
      </c>
      <c r="T20">
        <f>IFERROR((S20-M20)/M20,"")</f>
        <v/>
      </c>
      <c r="U20">
        <f>IFERROR(((J20/12)/(1-(1+J20/12)^(-K20*12)))*12,"")</f>
        <v/>
      </c>
      <c r="V20">
        <f>IFERROR(I20*U20,"")</f>
        <v/>
      </c>
      <c r="W20">
        <f>IFERROR(Q20/V20,"")</f>
        <v/>
      </c>
      <c r="X20">
        <f>IFERROR(D20-I20,"")</f>
        <v/>
      </c>
      <c r="Y20">
        <f>IFERROR((Q20-V20)/X20,"")</f>
        <v/>
      </c>
      <c r="Z20">
        <f>IFERROR((P20+V20)/E20,"")</f>
        <v/>
      </c>
      <c r="AA20">
        <f>IFERROR(IF(OR(W20&lt;L20,Z20&gt;0.95),IF(T20&gt;0.05,"Pass - underwater on DSCR and overpriced","Negotiate - financing too tight at this price"),IF(T20&gt;0.05,"Negotiate - price above submarket benchmark",IF(AND(N20="Cash Flow",Y20&lt;0.06),"Negotiate - cash flow below goal target","Buy - meets lender and goal thresholds"))),"")</f>
        <v/>
      </c>
    </row>
    <row r="21">
      <c r="O21">
        <f>IFERROR(E21*(1-F21),"")</f>
        <v/>
      </c>
      <c r="P21">
        <f>IFERROR(IF(H21="NNN",G21*0.05,IF(H21="Modified Gross",G21*0.5,G21)),"")</f>
        <v/>
      </c>
      <c r="Q21">
        <f>IFERROR(O21-P21,"")</f>
        <v/>
      </c>
      <c r="R21">
        <f>IFERROR(Q21/D21,"")</f>
        <v/>
      </c>
      <c r="S21">
        <f>IFERROR(D21/C21,"")</f>
        <v/>
      </c>
      <c r="T21">
        <f>IFERROR((S21-M21)/M21,"")</f>
        <v/>
      </c>
      <c r="U21">
        <f>IFERROR(((J21/12)/(1-(1+J21/12)^(-K21*12)))*12,"")</f>
        <v/>
      </c>
      <c r="V21">
        <f>IFERROR(I21*U21,"")</f>
        <v/>
      </c>
      <c r="W21">
        <f>IFERROR(Q21/V21,"")</f>
        <v/>
      </c>
      <c r="X21">
        <f>IFERROR(D21-I21,"")</f>
        <v/>
      </c>
      <c r="Y21">
        <f>IFERROR((Q21-V21)/X21,"")</f>
        <v/>
      </c>
      <c r="Z21">
        <f>IFERROR((P21+V21)/E21,"")</f>
        <v/>
      </c>
      <c r="AA21">
        <f>IFERROR(IF(OR(W21&lt;L21,Z21&gt;0.95),IF(T21&gt;0.05,"Pass - underwater on DSCR and overpriced","Negotiate - financing too tight at this price"),IF(T21&gt;0.05,"Negotiate - price above submarket benchmark",IF(AND(N21="Cash Flow",Y21&lt;0.06),"Negotiate - cash flow below goal target","Buy - meets lender and goal thresholds"))),"")</f>
        <v/>
      </c>
    </row>
    <row r="22">
      <c r="O22">
        <f>IFERROR(E22*(1-F22),"")</f>
        <v/>
      </c>
      <c r="P22">
        <f>IFERROR(IF(H22="NNN",G22*0.05,IF(H22="Modified Gross",G22*0.5,G22)),"")</f>
        <v/>
      </c>
      <c r="Q22">
        <f>IFERROR(O22-P22,"")</f>
        <v/>
      </c>
      <c r="R22">
        <f>IFERROR(Q22/D22,"")</f>
        <v/>
      </c>
      <c r="S22">
        <f>IFERROR(D22/C22,"")</f>
        <v/>
      </c>
      <c r="T22">
        <f>IFERROR((S22-M22)/M22,"")</f>
        <v/>
      </c>
      <c r="U22">
        <f>IFERROR(((J22/12)/(1-(1+J22/12)^(-K22*12)))*12,"")</f>
        <v/>
      </c>
      <c r="V22">
        <f>IFERROR(I22*U22,"")</f>
        <v/>
      </c>
      <c r="W22">
        <f>IFERROR(Q22/V22,"")</f>
        <v/>
      </c>
      <c r="X22">
        <f>IFERROR(D22-I22,"")</f>
        <v/>
      </c>
      <c r="Y22">
        <f>IFERROR((Q22-V22)/X22,"")</f>
        <v/>
      </c>
      <c r="Z22">
        <f>IFERROR((P22+V22)/E22,"")</f>
        <v/>
      </c>
      <c r="AA22">
        <f>IFERROR(IF(OR(W22&lt;L22,Z22&gt;0.95),IF(T22&gt;0.05,"Pass - underwater on DSCR and overpriced","Negotiate - financing too tight at this price"),IF(T22&gt;0.05,"Negotiate - price above submarket benchmark",IF(AND(N22="Cash Flow",Y22&lt;0.06),"Negotiate - cash flow below goal target","Buy - meets lender and goal thresholds"))),"")</f>
        <v/>
      </c>
    </row>
    <row r="23">
      <c r="O23">
        <f>IFERROR(E23*(1-F23),"")</f>
        <v/>
      </c>
      <c r="P23">
        <f>IFERROR(IF(H23="NNN",G23*0.05,IF(H23="Modified Gross",G23*0.5,G23)),"")</f>
        <v/>
      </c>
      <c r="Q23">
        <f>IFERROR(O23-P23,"")</f>
        <v/>
      </c>
      <c r="R23">
        <f>IFERROR(Q23/D23,"")</f>
        <v/>
      </c>
      <c r="S23">
        <f>IFERROR(D23/C23,"")</f>
        <v/>
      </c>
      <c r="T23">
        <f>IFERROR((S23-M23)/M23,"")</f>
        <v/>
      </c>
      <c r="U23">
        <f>IFERROR(((J23/12)/(1-(1+J23/12)^(-K23*12)))*12,"")</f>
        <v/>
      </c>
      <c r="V23">
        <f>IFERROR(I23*U23,"")</f>
        <v/>
      </c>
      <c r="W23">
        <f>IFERROR(Q23/V23,"")</f>
        <v/>
      </c>
      <c r="X23">
        <f>IFERROR(D23-I23,"")</f>
        <v/>
      </c>
      <c r="Y23">
        <f>IFERROR((Q23-V23)/X23,"")</f>
        <v/>
      </c>
      <c r="Z23">
        <f>IFERROR((P23+V23)/E23,"")</f>
        <v/>
      </c>
      <c r="AA23">
        <f>IFERROR(IF(OR(W23&lt;L23,Z23&gt;0.95),IF(T23&gt;0.05,"Pass - underwater on DSCR and overpriced","Negotiate - financing too tight at this price"),IF(T23&gt;0.05,"Negotiate - price above submarket benchmark",IF(AND(N23="Cash Flow",Y23&lt;0.06),"Negotiate - cash flow below goal target","Buy - meets lender and goal thresholds"))),"")</f>
        <v/>
      </c>
    </row>
    <row r="24">
      <c r="O24">
        <f>IFERROR(E24*(1-F24),"")</f>
        <v/>
      </c>
      <c r="P24">
        <f>IFERROR(IF(H24="NNN",G24*0.05,IF(H24="Modified Gross",G24*0.5,G24)),"")</f>
        <v/>
      </c>
      <c r="Q24">
        <f>IFERROR(O24-P24,"")</f>
        <v/>
      </c>
      <c r="R24">
        <f>IFERROR(Q24/D24,"")</f>
        <v/>
      </c>
      <c r="S24">
        <f>IFERROR(D24/C24,"")</f>
        <v/>
      </c>
      <c r="T24">
        <f>IFERROR((S24-M24)/M24,"")</f>
        <v/>
      </c>
      <c r="U24">
        <f>IFERROR(((J24/12)/(1-(1+J24/12)^(-K24*12)))*12,"")</f>
        <v/>
      </c>
      <c r="V24">
        <f>IFERROR(I24*U24,"")</f>
        <v/>
      </c>
      <c r="W24">
        <f>IFERROR(Q24/V24,"")</f>
        <v/>
      </c>
      <c r="X24">
        <f>IFERROR(D24-I24,"")</f>
        <v/>
      </c>
      <c r="Y24">
        <f>IFERROR((Q24-V24)/X24,"")</f>
        <v/>
      </c>
      <c r="Z24">
        <f>IFERROR((P24+V24)/E24,"")</f>
        <v/>
      </c>
      <c r="AA24">
        <f>IFERROR(IF(OR(W24&lt;L24,Z24&gt;0.95),IF(T24&gt;0.05,"Pass - underwater on DSCR and overpriced","Negotiate - financing too tight at this price"),IF(T24&gt;0.05,"Negotiate - price above submarket benchmark",IF(AND(N24="Cash Flow",Y24&lt;0.06),"Negotiate - cash flow below goal target","Buy - meets lender and goal thresholds"))),"")</f>
        <v/>
      </c>
    </row>
    <row r="25">
      <c r="O25">
        <f>IFERROR(E25*(1-F25),"")</f>
        <v/>
      </c>
      <c r="P25">
        <f>IFERROR(IF(H25="NNN",G25*0.05,IF(H25="Modified Gross",G25*0.5,G25)),"")</f>
        <v/>
      </c>
      <c r="Q25">
        <f>IFERROR(O25-P25,"")</f>
        <v/>
      </c>
      <c r="R25">
        <f>IFERROR(Q25/D25,"")</f>
        <v/>
      </c>
      <c r="S25">
        <f>IFERROR(D25/C25,"")</f>
        <v/>
      </c>
      <c r="T25">
        <f>IFERROR((S25-M25)/M25,"")</f>
        <v/>
      </c>
      <c r="U25">
        <f>IFERROR(((J25/12)/(1-(1+J25/12)^(-K25*12)))*12,"")</f>
        <v/>
      </c>
      <c r="V25">
        <f>IFERROR(I25*U25,"")</f>
        <v/>
      </c>
      <c r="W25">
        <f>IFERROR(Q25/V25,"")</f>
        <v/>
      </c>
      <c r="X25">
        <f>IFERROR(D25-I25,"")</f>
        <v/>
      </c>
      <c r="Y25">
        <f>IFERROR((Q25-V25)/X25,"")</f>
        <v/>
      </c>
      <c r="Z25">
        <f>IFERROR((P25+V25)/E25,"")</f>
        <v/>
      </c>
      <c r="AA25">
        <f>IFERROR(IF(OR(W25&lt;L25,Z25&gt;0.95),IF(T25&gt;0.05,"Pass - underwater on DSCR and overpriced","Negotiate - financing too tight at this price"),IF(T25&gt;0.05,"Negotiate - price above submarket benchmark",IF(AND(N25="Cash Flow",Y25&lt;0.06),"Negotiate - cash flow below goal target","Buy - meets lender and goal thresholds"))),"")</f>
        <v/>
      </c>
    </row>
  </sheetData>
  <mergeCells count="1">
    <mergeCell ref="A1:AE3"/>
  </mergeCells>
  <conditionalFormatting sqref="AA6:AA25">
    <cfRule type="cellIs" priority="1" operator="lessThan" dxfId="0">
      <formula>1.25</formula>
    </cfRule>
    <cfRule type="cellIs" priority="2" operator="greaterThan" dxfId="1">
      <formula>1.4</formula>
    </cfRule>
  </conditionalFormatting>
  <conditionalFormatting sqref="AC6:AC25">
    <cfRule type="cellIs" priority="3" operator="lessThan" dxfId="2">
      <formula>0.06</formula>
    </cfRule>
    <cfRule type="cellIs" priority="4" operator="greaterThan" dxfId="1">
      <formula>0.08</formula>
    </cfRule>
  </conditionalFormatting>
  <conditionalFormatting sqref="X6:X25">
    <cfRule type="cellIs" priority="5" operator="greaterThan" dxfId="0">
      <formula>0.05</formula>
    </cfRule>
  </conditionalFormatting>
  <conditionalFormatting sqref="AD6:AD25">
    <cfRule type="cellIs" priority="6" operator="greaterThan" dxfId="0">
      <formula>0.9</formula>
    </cfRule>
  </conditionalFormatting>
  <conditionalFormatting sqref="V6:V25">
    <cfRule type="cellIs" priority="7" operator="greaterThan" dxfId="1">
      <formula>0.07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2" customWidth="1" min="4" max="4"/>
    <col width="21" customWidth="1" min="5" max="5"/>
    <col width="31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25" customWidth="1" min="12" max="12"/>
    <col width="22" customWidth="1" min="13" max="13"/>
    <col width="16" customWidth="1" min="14" max="14"/>
    <col width="16" customWidth="1" min="15" max="15"/>
  </cols>
  <sheetData>
    <row r="1">
      <c r="A1" s="1" t="inlineStr">
        <is>
          <t>AI INSIGHT SUMMARY:
Deal B carries a DSCR of 1.18x, below the 1.25x most commercial lenders require, and its price/SqFt of $214 sits 12% above the submarket median of $191 - the financing will not pencil at this price; negotiate toward $1.95M or pass. Deal A clears every lender hurdle with a 1.42x DSCR and a 7.8% cash-on-cash return, making it the strongest cash-flow play in this set. Deal C's break-even occupancy of 91% leaves almost no vacancy cushion, so a single tenant move-out flips it to negative cash flow. Across the portfolio, NNN deals show stronger net margins because tenants absorb operating expenses, while the Full-Service Gross deal (Deal D) loses 1.1 points of cap rate to landlord-paid expenses. Prioritize Deal A for acquisition, re-trade Deal B, and treat Deal C as a high-risk hold.</t>
        </is>
      </c>
    </row>
    <row r="2"/>
    <row r="3"/>
    <row r="5">
      <c r="A5" s="2" t="inlineStr">
        <is>
          <t>Property Name</t>
        </is>
      </c>
      <c r="B5" s="2" t="inlineStr">
        <is>
          <t>Base NOI</t>
        </is>
      </c>
      <c r="C5" s="2" t="inlineStr">
        <is>
          <t>Annual Debt Service</t>
        </is>
      </c>
      <c r="D5" s="2" t="inlineStr">
        <is>
          <t>Stress Vacancy Add %</t>
        </is>
      </c>
      <c r="E5" s="2" t="inlineStr">
        <is>
          <t>Gross Rental Income</t>
        </is>
      </c>
      <c r="F5" s="2" t="inlineStr">
        <is>
          <t>Landlord Op Ex Responsibility</t>
        </is>
      </c>
      <c r="G5" s="2" t="inlineStr">
        <is>
          <t>Stressed NOI</t>
        </is>
      </c>
      <c r="H5" s="2" t="inlineStr">
        <is>
          <t>Stressed DSCR</t>
        </is>
      </c>
      <c r="I5" s="2" t="inlineStr">
        <is>
          <t>Rate Shock %</t>
        </is>
      </c>
      <c r="J5" s="2" t="inlineStr">
        <is>
          <t>Loan Amount</t>
        </is>
      </c>
      <c r="K5" s="2" t="inlineStr">
        <is>
          <t>Amortization Years</t>
        </is>
      </c>
      <c r="L5" s="2" t="inlineStr">
        <is>
          <t>Shocked Loan Constant %</t>
        </is>
      </c>
      <c r="M5" s="2" t="inlineStr">
        <is>
          <t>Shocked Debt Service</t>
        </is>
      </c>
      <c r="N5" s="2" t="inlineStr">
        <is>
          <t>Shocked DSCR</t>
        </is>
      </c>
      <c r="O5" s="2" t="inlineStr">
        <is>
          <t>Stress Verdict</t>
        </is>
      </c>
    </row>
    <row r="6">
      <c r="A6" t="inlineStr">
        <is>
          <t>Maple Plaza Retail</t>
        </is>
      </c>
      <c r="B6" t="n">
        <v>186000</v>
      </c>
      <c r="C6" t="n">
        <v>124362</v>
      </c>
      <c r="D6" t="n">
        <v>0.1</v>
      </c>
      <c r="E6" t="n">
        <v>198000</v>
      </c>
      <c r="F6" t="n">
        <v>2100</v>
      </c>
      <c r="G6">
        <f>IFERROR(E6*(1-D6)-F6,"")</f>
        <v/>
      </c>
      <c r="H6">
        <f>IFERROR(G6/C6,"")</f>
        <v/>
      </c>
      <c r="I6" t="n">
        <v>0.092</v>
      </c>
      <c r="J6" t="n">
        <v>1470000</v>
      </c>
      <c r="K6" t="n">
        <v>25</v>
      </c>
      <c r="L6">
        <f>IFERROR((((I6)/12)/(1-(1+I6/12)^(-K6*12)))*12,"")</f>
        <v/>
      </c>
      <c r="M6">
        <f>IFERROR(J6*L6,"")</f>
        <v/>
      </c>
      <c r="N6">
        <f>IFERROR(B6/M6,"")</f>
        <v/>
      </c>
      <c r="O6">
        <f>IFERROR(IF(OR(H6&lt;1.1,N6&lt;1.1),"Fragile - fails under stress",IF(OR(H6&lt;1.25,N6&lt;1.25),"Watch - thin cushion under stress","Resilient - survives stress scenarios")),"")</f>
        <v/>
      </c>
    </row>
    <row r="7">
      <c r="A7" t="inlineStr">
        <is>
          <t>Riverside Office</t>
        </is>
      </c>
      <c r="B7" t="n">
        <v>161040</v>
      </c>
      <c r="C7" t="n">
        <v>145902</v>
      </c>
      <c r="D7" t="n">
        <v>0.15</v>
      </c>
      <c r="E7" t="n">
        <v>212000</v>
      </c>
      <c r="F7" t="n">
        <v>34000</v>
      </c>
      <c r="G7">
        <f>IFERROR(E7*(1-D7)-F7,"")</f>
        <v/>
      </c>
      <c r="H7">
        <f>IFERROR(G7/C7,"")</f>
        <v/>
      </c>
      <c r="I7" t="n">
        <v>0.095</v>
      </c>
      <c r="J7" t="n">
        <v>1645000</v>
      </c>
      <c r="K7" t="n">
        <v>25</v>
      </c>
      <c r="L7">
        <f>IFERROR((((I7)/12)/(1-(1+I7/12)^(-K7*12)))*12,"")</f>
        <v/>
      </c>
      <c r="M7">
        <f>IFERROR(J7*L7,"")</f>
        <v/>
      </c>
      <c r="N7">
        <f>IFERROR(B7/M7,"")</f>
        <v/>
      </c>
      <c r="O7">
        <f>IFERROR(IF(OR(H7&lt;1.1,N7&lt;1.1),"Fragile - fails under stress",IF(OR(H7&lt;1.25,N7&lt;1.25),"Watch - thin cushion under stress","Resilient - survives stress scenarios")),"")</f>
        <v/>
      </c>
    </row>
    <row r="8">
      <c r="A8" t="inlineStr">
        <is>
          <t>Industrial Park Unit C</t>
        </is>
      </c>
      <c r="B8" t="n">
        <v>159380</v>
      </c>
      <c r="C8" t="n">
        <v>108003</v>
      </c>
      <c r="D8" t="n">
        <v>0.1</v>
      </c>
      <c r="E8" t="n">
        <v>168000</v>
      </c>
      <c r="F8" t="n">
        <v>1900</v>
      </c>
      <c r="G8">
        <f>IFERROR(E8*(1-D8)-F8,"")</f>
        <v/>
      </c>
      <c r="H8">
        <f>IFERROR(G8/C8,"")</f>
        <v/>
      </c>
      <c r="I8" t="n">
        <v>0.089</v>
      </c>
      <c r="J8" t="n">
        <v>1295000</v>
      </c>
      <c r="K8" t="n">
        <v>25</v>
      </c>
      <c r="L8">
        <f>IFERROR((((I8)/12)/(1-(1+I8/12)^(-K8*12)))*12,"")</f>
        <v/>
      </c>
      <c r="M8">
        <f>IFERROR(J8*L8,"")</f>
        <v/>
      </c>
      <c r="N8">
        <f>IFERROR(B8/M8,"")</f>
        <v/>
      </c>
      <c r="O8">
        <f>IFERROR(IF(OR(H8&lt;1.1,N8&lt;1.1),"Fragile - fails under stress",IF(OR(H8&lt;1.25,N8&lt;1.25),"Watch - thin cushion under stress","Resilient - survives stress scenarios")),"")</f>
        <v/>
      </c>
    </row>
    <row r="9">
      <c r="A9" t="inlineStr">
        <is>
          <t>Eastgate Strip Center</t>
        </is>
      </c>
      <c r="B9" t="n">
        <v>163440</v>
      </c>
      <c r="C9" t="n">
        <v>118210</v>
      </c>
      <c r="D9" t="n">
        <v>0.1</v>
      </c>
      <c r="E9" t="n">
        <v>176000</v>
      </c>
      <c r="F9" t="n">
        <v>2000</v>
      </c>
      <c r="G9">
        <f>IFERROR(E9*(1-D9)-F9,"")</f>
        <v/>
      </c>
      <c r="H9">
        <f>IFERROR(G9/C9,"")</f>
        <v/>
      </c>
      <c r="I9" t="n">
        <v>0.091</v>
      </c>
      <c r="J9" t="n">
        <v>1386000</v>
      </c>
      <c r="K9" t="n">
        <v>25</v>
      </c>
      <c r="L9">
        <f>IFERROR((((I9)/12)/(1-(1+I9/12)^(-K9*12)))*12,"")</f>
        <v/>
      </c>
      <c r="M9">
        <f>IFERROR(J9*L9,"")</f>
        <v/>
      </c>
      <c r="N9">
        <f>IFERROR(B9/M9,"")</f>
        <v/>
      </c>
      <c r="O9">
        <f>IFERROR(IF(OR(H9&lt;1.1,N9&lt;1.1),"Fragile - fails under stress",IF(OR(H9&lt;1.25,N9&lt;1.25),"Watch - thin cushion under stress","Resilient - survives stress scenarios")),"")</f>
        <v/>
      </c>
    </row>
    <row r="10">
      <c r="G10">
        <f>IFERROR(E10*(1-D10)-F10,"")</f>
        <v/>
      </c>
      <c r="H10">
        <f>IFERROR(G10/C10,"")</f>
        <v/>
      </c>
      <c r="L10">
        <f>IFERROR((((I10)/12)/(1-(1+I10/12)^(-K10*12)))*12,"")</f>
        <v/>
      </c>
      <c r="M10">
        <f>IFERROR(J10*L10,"")</f>
        <v/>
      </c>
      <c r="N10">
        <f>IFERROR(B10/M10,"")</f>
        <v/>
      </c>
      <c r="O10">
        <f>IFERROR(IF(OR(H10&lt;1.1,N10&lt;1.1),"Fragile - fails under stress",IF(OR(H10&lt;1.25,N10&lt;1.25),"Watch - thin cushion under stress","Resilient - survives stress scenarios")),"")</f>
        <v/>
      </c>
    </row>
    <row r="11">
      <c r="G11">
        <f>IFERROR(E11*(1-D11)-F11,"")</f>
        <v/>
      </c>
      <c r="H11">
        <f>IFERROR(G11/C11,"")</f>
        <v/>
      </c>
      <c r="L11">
        <f>IFERROR((((I11)/12)/(1-(1+I11/12)^(-K11*12)))*12,"")</f>
        <v/>
      </c>
      <c r="M11">
        <f>IFERROR(J11*L11,"")</f>
        <v/>
      </c>
      <c r="N11">
        <f>IFERROR(B11/M11,"")</f>
        <v/>
      </c>
      <c r="O11">
        <f>IFERROR(IF(OR(H11&lt;1.1,N11&lt;1.1),"Fragile - fails under stress",IF(OR(H11&lt;1.25,N11&lt;1.25),"Watch - thin cushion under stress","Resilient - survives stress scenarios")),"")</f>
        <v/>
      </c>
    </row>
    <row r="12">
      <c r="G12">
        <f>IFERROR(E12*(1-D12)-F12,"")</f>
        <v/>
      </c>
      <c r="H12">
        <f>IFERROR(G12/C12,"")</f>
        <v/>
      </c>
      <c r="L12">
        <f>IFERROR((((I12)/12)/(1-(1+I12/12)^(-K12*12)))*12,"")</f>
        <v/>
      </c>
      <c r="M12">
        <f>IFERROR(J12*L12,"")</f>
        <v/>
      </c>
      <c r="N12">
        <f>IFERROR(B12/M12,"")</f>
        <v/>
      </c>
      <c r="O12">
        <f>IFERROR(IF(OR(H12&lt;1.1,N12&lt;1.1),"Fragile - fails under stress",IF(OR(H12&lt;1.25,N12&lt;1.25),"Watch - thin cushion under stress","Resilient - survives stress scenarios")),"")</f>
        <v/>
      </c>
    </row>
    <row r="13">
      <c r="G13">
        <f>IFERROR(E13*(1-D13)-F13,"")</f>
        <v/>
      </c>
      <c r="H13">
        <f>IFERROR(G13/C13,"")</f>
        <v/>
      </c>
      <c r="L13">
        <f>IFERROR((((I13)/12)/(1-(1+I13/12)^(-K13*12)))*12,"")</f>
        <v/>
      </c>
      <c r="M13">
        <f>IFERROR(J13*L13,"")</f>
        <v/>
      </c>
      <c r="N13">
        <f>IFERROR(B13/M13,"")</f>
        <v/>
      </c>
      <c r="O13">
        <f>IFERROR(IF(OR(H13&lt;1.1,N13&lt;1.1),"Fragile - fails under stress",IF(OR(H13&lt;1.25,N13&lt;1.25),"Watch - thin cushion under stress","Resilient - survives stress scenarios")),"")</f>
        <v/>
      </c>
    </row>
    <row r="14">
      <c r="G14">
        <f>IFERROR(E14*(1-D14)-F14,"")</f>
        <v/>
      </c>
      <c r="H14">
        <f>IFERROR(G14/C14,"")</f>
        <v/>
      </c>
      <c r="L14">
        <f>IFERROR((((I14)/12)/(1-(1+I14/12)^(-K14*12)))*12,"")</f>
        <v/>
      </c>
      <c r="M14">
        <f>IFERROR(J14*L14,"")</f>
        <v/>
      </c>
      <c r="N14">
        <f>IFERROR(B14/M14,"")</f>
        <v/>
      </c>
      <c r="O14">
        <f>IFERROR(IF(OR(H14&lt;1.1,N14&lt;1.1),"Fragile - fails under stress",IF(OR(H14&lt;1.25,N14&lt;1.25),"Watch - thin cushion under stress","Resilient - survives stress scenarios")),"")</f>
        <v/>
      </c>
    </row>
    <row r="15">
      <c r="G15">
        <f>IFERROR(E15*(1-D15)-F15,"")</f>
        <v/>
      </c>
      <c r="H15">
        <f>IFERROR(G15/C15,"")</f>
        <v/>
      </c>
      <c r="L15">
        <f>IFERROR((((I15)/12)/(1-(1+I15/12)^(-K15*12)))*12,"")</f>
        <v/>
      </c>
      <c r="M15">
        <f>IFERROR(J15*L15,"")</f>
        <v/>
      </c>
      <c r="N15">
        <f>IFERROR(B15/M15,"")</f>
        <v/>
      </c>
      <c r="O15">
        <f>IFERROR(IF(OR(H15&lt;1.1,N15&lt;1.1),"Fragile - fails under stress",IF(OR(H15&lt;1.25,N15&lt;1.25),"Watch - thin cushion under stress","Resilient - survives stress scenarios")),"")</f>
        <v/>
      </c>
    </row>
    <row r="16">
      <c r="G16">
        <f>IFERROR(E16*(1-D16)-F16,"")</f>
        <v/>
      </c>
      <c r="H16">
        <f>IFERROR(G16/C16,"")</f>
        <v/>
      </c>
      <c r="L16">
        <f>IFERROR((((I16)/12)/(1-(1+I16/12)^(-K16*12)))*12,"")</f>
        <v/>
      </c>
      <c r="M16">
        <f>IFERROR(J16*L16,"")</f>
        <v/>
      </c>
      <c r="N16">
        <f>IFERROR(B16/M16,"")</f>
        <v/>
      </c>
      <c r="O16">
        <f>IFERROR(IF(OR(H16&lt;1.1,N16&lt;1.1),"Fragile - fails under stress",IF(OR(H16&lt;1.25,N16&lt;1.25),"Watch - thin cushion under stress","Resilient - survives stress scenarios")),"")</f>
        <v/>
      </c>
    </row>
    <row r="17">
      <c r="G17">
        <f>IFERROR(E17*(1-D17)-F17,"")</f>
        <v/>
      </c>
      <c r="H17">
        <f>IFERROR(G17/C17,"")</f>
        <v/>
      </c>
      <c r="L17">
        <f>IFERROR((((I17)/12)/(1-(1+I17/12)^(-K17*12)))*12,"")</f>
        <v/>
      </c>
      <c r="M17">
        <f>IFERROR(J17*L17,"")</f>
        <v/>
      </c>
      <c r="N17">
        <f>IFERROR(B17/M17,"")</f>
        <v/>
      </c>
      <c r="O17">
        <f>IFERROR(IF(OR(H17&lt;1.1,N17&lt;1.1),"Fragile - fails under stress",IF(OR(H17&lt;1.25,N17&lt;1.25),"Watch - thin cushion under stress","Resilient - survives stress scenarios")),"")</f>
        <v/>
      </c>
    </row>
    <row r="18">
      <c r="G18">
        <f>IFERROR(E18*(1-D18)-F18,"")</f>
        <v/>
      </c>
      <c r="H18">
        <f>IFERROR(G18/C18,"")</f>
        <v/>
      </c>
      <c r="L18">
        <f>IFERROR((((I18)/12)/(1-(1+I18/12)^(-K18*12)))*12,"")</f>
        <v/>
      </c>
      <c r="M18">
        <f>IFERROR(J18*L18,"")</f>
        <v/>
      </c>
      <c r="N18">
        <f>IFERROR(B18/M18,"")</f>
        <v/>
      </c>
      <c r="O18">
        <f>IFERROR(IF(OR(H18&lt;1.1,N18&lt;1.1),"Fragile - fails under stress",IF(OR(H18&lt;1.25,N18&lt;1.25),"Watch - thin cushion under stress","Resilient - survives stress scenarios")),"")</f>
        <v/>
      </c>
    </row>
    <row r="19">
      <c r="G19">
        <f>IFERROR(E19*(1-D19)-F19,"")</f>
        <v/>
      </c>
      <c r="H19">
        <f>IFERROR(G19/C19,"")</f>
        <v/>
      </c>
      <c r="L19">
        <f>IFERROR((((I19)/12)/(1-(1+I19/12)^(-K19*12)))*12,"")</f>
        <v/>
      </c>
      <c r="M19">
        <f>IFERROR(J19*L19,"")</f>
        <v/>
      </c>
      <c r="N19">
        <f>IFERROR(B19/M19,"")</f>
        <v/>
      </c>
      <c r="O19">
        <f>IFERROR(IF(OR(H19&lt;1.1,N19&lt;1.1),"Fragile - fails under stress",IF(OR(H19&lt;1.25,N19&lt;1.25),"Watch - thin cushion under stress","Resilient - survives stress scenarios")),"")</f>
        <v/>
      </c>
    </row>
    <row r="20">
      <c r="G20">
        <f>IFERROR(E20*(1-D20)-F20,"")</f>
        <v/>
      </c>
      <c r="H20">
        <f>IFERROR(G20/C20,"")</f>
        <v/>
      </c>
      <c r="L20">
        <f>IFERROR((((I20)/12)/(1-(1+I20/12)^(-K20*12)))*12,"")</f>
        <v/>
      </c>
      <c r="M20">
        <f>IFERROR(J20*L20,"")</f>
        <v/>
      </c>
      <c r="N20">
        <f>IFERROR(B20/M20,"")</f>
        <v/>
      </c>
      <c r="O20">
        <f>IFERROR(IF(OR(H20&lt;1.1,N20&lt;1.1),"Fragile - fails under stress",IF(OR(H20&lt;1.25,N20&lt;1.25),"Watch - thin cushion under stress","Resilient - survives stress scenarios")),"")</f>
        <v/>
      </c>
    </row>
    <row r="21">
      <c r="G21">
        <f>IFERROR(E21*(1-D21)-F21,"")</f>
        <v/>
      </c>
      <c r="H21">
        <f>IFERROR(G21/C21,"")</f>
        <v/>
      </c>
      <c r="L21">
        <f>IFERROR((((I21)/12)/(1-(1+I21/12)^(-K21*12)))*12,"")</f>
        <v/>
      </c>
      <c r="M21">
        <f>IFERROR(J21*L21,"")</f>
        <v/>
      </c>
      <c r="N21">
        <f>IFERROR(B21/M21,"")</f>
        <v/>
      </c>
      <c r="O21">
        <f>IFERROR(IF(OR(H21&lt;1.1,N21&lt;1.1),"Fragile - fails under stress",IF(OR(H21&lt;1.25,N21&lt;1.25),"Watch - thin cushion under stress","Resilient - survives stress scenarios")),"")</f>
        <v/>
      </c>
    </row>
    <row r="22">
      <c r="G22">
        <f>IFERROR(E22*(1-D22)-F22,"")</f>
        <v/>
      </c>
      <c r="H22">
        <f>IFERROR(G22/C22,"")</f>
        <v/>
      </c>
      <c r="L22">
        <f>IFERROR((((I22)/12)/(1-(1+I22/12)^(-K22*12)))*12,"")</f>
        <v/>
      </c>
      <c r="M22">
        <f>IFERROR(J22*L22,"")</f>
        <v/>
      </c>
      <c r="N22">
        <f>IFERROR(B22/M22,"")</f>
        <v/>
      </c>
      <c r="O22">
        <f>IFERROR(IF(OR(H22&lt;1.1,N22&lt;1.1),"Fragile - fails under stress",IF(OR(H22&lt;1.25,N22&lt;1.25),"Watch - thin cushion under stress","Resilient - survives stress scenarios")),"")</f>
        <v/>
      </c>
    </row>
    <row r="23">
      <c r="G23">
        <f>IFERROR(E23*(1-D23)-F23,"")</f>
        <v/>
      </c>
      <c r="H23">
        <f>IFERROR(G23/C23,"")</f>
        <v/>
      </c>
      <c r="L23">
        <f>IFERROR((((I23)/12)/(1-(1+I23/12)^(-K23*12)))*12,"")</f>
        <v/>
      </c>
      <c r="M23">
        <f>IFERROR(J23*L23,"")</f>
        <v/>
      </c>
      <c r="N23">
        <f>IFERROR(B23/M23,"")</f>
        <v/>
      </c>
      <c r="O23">
        <f>IFERROR(IF(OR(H23&lt;1.1,N23&lt;1.1),"Fragile - fails under stress",IF(OR(H23&lt;1.25,N23&lt;1.25),"Watch - thin cushion under stress","Resilient - survives stress scenarios")),"")</f>
        <v/>
      </c>
    </row>
    <row r="24">
      <c r="G24">
        <f>IFERROR(E24*(1-D24)-F24,"")</f>
        <v/>
      </c>
      <c r="H24">
        <f>IFERROR(G24/C24,"")</f>
        <v/>
      </c>
      <c r="L24">
        <f>IFERROR((((I24)/12)/(1-(1+I24/12)^(-K24*12)))*12,"")</f>
        <v/>
      </c>
      <c r="M24">
        <f>IFERROR(J24*L24,"")</f>
        <v/>
      </c>
      <c r="N24">
        <f>IFERROR(B24/M24,"")</f>
        <v/>
      </c>
      <c r="O24">
        <f>IFERROR(IF(OR(H24&lt;1.1,N24&lt;1.1),"Fragile - fails under stress",IF(OR(H24&lt;1.25,N24&lt;1.25),"Watch - thin cushion under stress","Resilient - survives stress scenarios")),"")</f>
        <v/>
      </c>
    </row>
  </sheetData>
  <mergeCells count="1">
    <mergeCell ref="A1:O3"/>
  </mergeCells>
  <conditionalFormatting sqref="H6:H24">
    <cfRule type="cellIs" priority="1" operator="lessThan" dxfId="0">
      <formula>1.25</formula>
    </cfRule>
    <cfRule type="cellIs" priority="3" operator="greaterThan" dxfId="1">
      <formula>1.35</formula>
    </cfRule>
  </conditionalFormatting>
  <conditionalFormatting sqref="N6:N24">
    <cfRule type="cellIs" priority="2" operator="lessThan" dxfId="0">
      <formula>1.25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2026-06-29T18:57:05Z</dcterms:created>
  <dcterms:modified xsi:type="dcterms:W3CDTF">2026-06-30T00:39:07Z</dcterms:modified>
</cp:coreProperties>
</file>