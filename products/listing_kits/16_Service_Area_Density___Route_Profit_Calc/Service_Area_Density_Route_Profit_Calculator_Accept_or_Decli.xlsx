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 Density Dashboard" sheetId="1" state="visible" r:id="rId1"/>
    <sheet name="New Customer Calculator" sheetId="2" state="visible" r:id="rId2"/>
    <sheet name="Min Price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7" customWidth="1" min="4" max="4"/>
    <col width="21" customWidth="1" min="5" max="5"/>
    <col width="24" customWidth="1" min="6" max="6"/>
    <col width="24" customWidth="1" min="7" max="7"/>
    <col width="16" customWidth="1" min="8" max="8"/>
    <col width="22" customWidth="1" min="9" max="9"/>
    <col width="16" customWidth="1" min="10" max="10"/>
  </cols>
  <sheetData>
    <row r="1">
      <c r="A1" s="1" t="inlineStr">
        <is>
          <t>AI INSIGHT SUMMARY:
Your North zone yields $142/drive-hour with 12 stops packed into 6 miles -- this is your profit engine; accept any new customer here, even at a 15% discount. Your Far-West zone yields only $38/drive-hour across 3 scattered stops over 19 miles, which is below your $65/hour breakeven -- decline new west-side prospects unless they accept a $40 distance premium. The West territory as a whole has crossed into abandon economics; selling or trading those 3 stops to a competitor would free 4.2 drive-hours per week. Apply the New Customer Calculator before booking any prospect: it scored the sample prospect in Zone 4 as DECLINE because their zone yields under breakeven and adding them lengthens an already thin route.</t>
        </is>
      </c>
    </row>
    <row r="2"/>
    <row r="3"/>
    <row r="4"/>
    <row r="5">
      <c r="A5" s="2" t="inlineStr">
        <is>
          <t>Zone Name</t>
        </is>
      </c>
      <c r="B5" s="2" t="inlineStr">
        <is>
          <t>Stops</t>
        </is>
      </c>
      <c r="C5" s="2" t="inlineStr">
        <is>
          <t>Service Radius (mi)</t>
        </is>
      </c>
      <c r="D5" s="2" t="inlineStr">
        <is>
          <t>Monthly Revenue</t>
        </is>
      </c>
      <c r="E5" s="2" t="inlineStr">
        <is>
          <t>Drive Hours / Month</t>
        </is>
      </c>
      <c r="F5" s="2" t="inlineStr">
        <is>
          <t>Breakeven $/Drive-Hour</t>
        </is>
      </c>
      <c r="G5" s="2" t="inlineStr">
        <is>
          <t>Revenue per Drive-Hour</t>
        </is>
      </c>
      <c r="H5" s="2" t="inlineStr">
        <is>
          <t>Stops per Mile</t>
        </is>
      </c>
      <c r="I5" s="2" t="inlineStr">
        <is>
          <t>Avg Revenue per Stop</t>
        </is>
      </c>
      <c r="J5" s="2" t="inlineStr">
        <is>
          <t>Zone Verdict</t>
        </is>
      </c>
    </row>
    <row r="6">
      <c r="A6" t="inlineStr">
        <is>
          <t>North</t>
        </is>
      </c>
      <c r="B6" t="n">
        <v>12</v>
      </c>
      <c r="C6" t="n">
        <v>6</v>
      </c>
      <c r="D6" t="n">
        <v>1700</v>
      </c>
      <c r="E6" t="n">
        <v>12</v>
      </c>
      <c r="F6" t="n">
        <v>65</v>
      </c>
      <c r="G6">
        <f>IFERROR(IF(E6=0,0,D6/E6),"")</f>
        <v/>
      </c>
      <c r="H6">
        <f>IFERROR(IF(C6=0,0,B6/C6),"")</f>
        <v/>
      </c>
      <c r="I6">
        <f>IFERROR(IF(B6=0,0,D6/B6),"")</f>
        <v/>
      </c>
      <c r="J6">
        <f>IFERROR(IF(G6&lt;F6,"ABANDON - below breakeven, sell/trade route",IF(G6&lt;F6*1.5,"SURCHARGE - accept only with distance premium","ACCEPT - prime zone, take new customers even at discount")),"")</f>
        <v/>
      </c>
    </row>
    <row r="7">
      <c r="A7" t="inlineStr">
        <is>
          <t>Central</t>
        </is>
      </c>
      <c r="B7" t="n">
        <v>9</v>
      </c>
      <c r="C7" t="n">
        <v>8</v>
      </c>
      <c r="D7" t="n">
        <v>1100</v>
      </c>
      <c r="E7" t="n">
        <v>14</v>
      </c>
      <c r="F7" t="n">
        <v>65</v>
      </c>
      <c r="G7">
        <f>IFERROR(IF(E7=0,0,D7/E7),"")</f>
        <v/>
      </c>
      <c r="H7">
        <f>IFERROR(IF(C7=0,0,B7/C7),"")</f>
        <v/>
      </c>
      <c r="I7">
        <f>IFERROR(IF(B7=0,0,D7/B7),"")</f>
        <v/>
      </c>
      <c r="J7">
        <f>IFERROR(IF(G7&lt;F7,"ABANDON - below breakeven, sell/trade route",IF(G7&lt;F7*1.5,"SURCHARGE - accept only with distance premium","ACCEPT - prime zone, take new customers even at discount")),"")</f>
        <v/>
      </c>
    </row>
    <row r="8">
      <c r="A8" t="inlineStr">
        <is>
          <t>East</t>
        </is>
      </c>
      <c r="B8" t="n">
        <v>7</v>
      </c>
      <c r="C8" t="n">
        <v>10</v>
      </c>
      <c r="D8" t="n">
        <v>980</v>
      </c>
      <c r="E8" t="n">
        <v>11</v>
      </c>
      <c r="F8" t="n">
        <v>65</v>
      </c>
      <c r="G8">
        <f>IFERROR(IF(E8=0,0,D8/E8),"")</f>
        <v/>
      </c>
      <c r="H8">
        <f>IFERROR(IF(C8=0,0,B8/C8),"")</f>
        <v/>
      </c>
      <c r="I8">
        <f>IFERROR(IF(B8=0,0,D8/B8),"")</f>
        <v/>
      </c>
      <c r="J8">
        <f>IFERROR(IF(G8&lt;F8,"ABANDON - below breakeven, sell/trade route",IF(G8&lt;F8*1.5,"SURCHARGE - accept only with distance premium","ACCEPT - prime zone, take new customers even at discount")),"")</f>
        <v/>
      </c>
    </row>
    <row r="9">
      <c r="A9" t="inlineStr">
        <is>
          <t>South</t>
        </is>
      </c>
      <c r="B9" t="n">
        <v>6</v>
      </c>
      <c r="C9" t="n">
        <v>7</v>
      </c>
      <c r="D9" t="n">
        <v>1020</v>
      </c>
      <c r="E9" t="n">
        <v>9</v>
      </c>
      <c r="F9" t="n">
        <v>65</v>
      </c>
      <c r="G9">
        <f>IFERROR(IF(E9=0,0,D9/E9),"")</f>
        <v/>
      </c>
      <c r="H9">
        <f>IFERROR(IF(C9=0,0,B9/C9),"")</f>
        <v/>
      </c>
      <c r="I9">
        <f>IFERROR(IF(B9=0,0,D9/B9),"")</f>
        <v/>
      </c>
      <c r="J9">
        <f>IFERROR(IF(G9&lt;F9,"ABANDON - below breakeven, sell/trade route",IF(G9&lt;F9*1.5,"SURCHARGE - accept only with distance premium","ACCEPT - prime zone, take new customers even at discount")),"")</f>
        <v/>
      </c>
    </row>
    <row r="10">
      <c r="A10" t="inlineStr">
        <is>
          <t>Far-West</t>
        </is>
      </c>
      <c r="B10" t="n">
        <v>3</v>
      </c>
      <c r="C10" t="n">
        <v>19</v>
      </c>
      <c r="D10" t="n">
        <v>460</v>
      </c>
      <c r="E10" t="n">
        <v>12</v>
      </c>
      <c r="F10" t="n">
        <v>65</v>
      </c>
      <c r="G10">
        <f>IFERROR(IF(E10=0,0,D10/E10),"")</f>
        <v/>
      </c>
      <c r="H10">
        <f>IFERROR(IF(C10=0,0,B10/C10),"")</f>
        <v/>
      </c>
      <c r="I10">
        <f>IFERROR(IF(B10=0,0,D10/B10),"")</f>
        <v/>
      </c>
      <c r="J10">
        <f>IFERROR(IF(G10&lt;F10,"ABANDON - below breakeven, sell/trade route",IF(G10&lt;F10*1.5,"SURCHARGE - accept only with distance premium","ACCEPT - prime zone, take new customers even at discount")),"")</f>
        <v/>
      </c>
    </row>
    <row r="11">
      <c r="G11">
        <f>IFERROR(IF(E11=0,0,D11/E11),"")</f>
        <v/>
      </c>
      <c r="H11">
        <f>IFERROR(IF(C11=0,0,B11/C11),"")</f>
        <v/>
      </c>
      <c r="I11">
        <f>IFERROR(IF(B11=0,0,D11/B11),"")</f>
        <v/>
      </c>
      <c r="J11">
        <f>IFERROR(IF(G11&lt;F11,"ABANDON - below breakeven, sell/trade route",IF(G11&lt;F11*1.5,"SURCHARGE - accept only with distance premium","ACCEPT - prime zone, take new customers even at discount")),"")</f>
        <v/>
      </c>
    </row>
    <row r="12">
      <c r="G12">
        <f>IFERROR(IF(E12=0,0,D12/E12),"")</f>
        <v/>
      </c>
      <c r="H12">
        <f>IFERROR(IF(C12=0,0,B12/C12),"")</f>
        <v/>
      </c>
      <c r="I12">
        <f>IFERROR(IF(B12=0,0,D12/B12),"")</f>
        <v/>
      </c>
      <c r="J12">
        <f>IFERROR(IF(G12&lt;F12,"ABANDON - below breakeven, sell/trade route",IF(G12&lt;F12*1.5,"SURCHARGE - accept only with distance premium","ACCEPT - prime zone, take new customers even at discount")),"")</f>
        <v/>
      </c>
    </row>
    <row r="13">
      <c r="G13">
        <f>IFERROR(IF(E13=0,0,D13/E13),"")</f>
        <v/>
      </c>
      <c r="H13">
        <f>IFERROR(IF(C13=0,0,B13/C13),"")</f>
        <v/>
      </c>
      <c r="I13">
        <f>IFERROR(IF(B13=0,0,D13/B13),"")</f>
        <v/>
      </c>
      <c r="J13">
        <f>IFERROR(IF(G13&lt;F13,"ABANDON - below breakeven, sell/trade route",IF(G13&lt;F13*1.5,"SURCHARGE - accept only with distance premium","ACCEPT - prime zone, take new customers even at discount")),"")</f>
        <v/>
      </c>
    </row>
    <row r="14">
      <c r="G14">
        <f>IFERROR(IF(E14=0,0,D14/E14),"")</f>
        <v/>
      </c>
      <c r="H14">
        <f>IFERROR(IF(C14=0,0,B14/C14),"")</f>
        <v/>
      </c>
      <c r="I14">
        <f>IFERROR(IF(B14=0,0,D14/B14),"")</f>
        <v/>
      </c>
      <c r="J14">
        <f>IFERROR(IF(G14&lt;F14,"ABANDON - below breakeven, sell/trade route",IF(G14&lt;F14*1.5,"SURCHARGE - accept only with distance premium","ACCEPT - prime zone, take new customers even at discount")),"")</f>
        <v/>
      </c>
    </row>
    <row r="15">
      <c r="G15">
        <f>IFERROR(IF(E15=0,0,D15/E15),"")</f>
        <v/>
      </c>
      <c r="H15">
        <f>IFERROR(IF(C15=0,0,B15/C15),"")</f>
        <v/>
      </c>
      <c r="I15">
        <f>IFERROR(IF(B15=0,0,D15/B15),"")</f>
        <v/>
      </c>
      <c r="J15">
        <f>IFERROR(IF(G15&lt;F15,"ABANDON - below breakeven, sell/trade route",IF(G15&lt;F15*1.5,"SURCHARGE - accept only with distance premium","ACCEPT - prime zone, take new customers even at discount")),"")</f>
        <v/>
      </c>
    </row>
    <row r="16">
      <c r="G16">
        <f>IFERROR(IF(E16=0,0,D16/E16),"")</f>
        <v/>
      </c>
      <c r="H16">
        <f>IFERROR(IF(C16=0,0,B16/C16),"")</f>
        <v/>
      </c>
      <c r="I16">
        <f>IFERROR(IF(B16=0,0,D16/B16),"")</f>
        <v/>
      </c>
      <c r="J16">
        <f>IFERROR(IF(G16&lt;F16,"ABANDON - below breakeven, sell/trade route",IF(G16&lt;F16*1.5,"SURCHARGE - accept only with distance premium","ACCEPT - prime zone, take new customers even at discount")),"")</f>
        <v/>
      </c>
    </row>
    <row r="17">
      <c r="G17">
        <f>IFERROR(IF(E17=0,0,D17/E17),"")</f>
        <v/>
      </c>
      <c r="H17">
        <f>IFERROR(IF(C17=0,0,B17/C17),"")</f>
        <v/>
      </c>
      <c r="I17">
        <f>IFERROR(IF(B17=0,0,D17/B17),"")</f>
        <v/>
      </c>
      <c r="J17">
        <f>IFERROR(IF(G17&lt;F17,"ABANDON - below breakeven, sell/trade route",IF(G17&lt;F17*1.5,"SURCHARGE - accept only with distance premium","ACCEPT - prime zone, take new customers even at discount")),"")</f>
        <v/>
      </c>
    </row>
    <row r="18">
      <c r="G18">
        <f>IFERROR(IF(E18=0,0,D18/E18),"")</f>
        <v/>
      </c>
      <c r="H18">
        <f>IFERROR(IF(C18=0,0,B18/C18),"")</f>
        <v/>
      </c>
      <c r="I18">
        <f>IFERROR(IF(B18=0,0,D18/B18),"")</f>
        <v/>
      </c>
      <c r="J18">
        <f>IFERROR(IF(G18&lt;F18,"ABANDON - below breakeven, sell/trade route",IF(G18&lt;F18*1.5,"SURCHARGE - accept only with distance premium","ACCEPT - prime zone, take new customers even at discount")),"")</f>
        <v/>
      </c>
    </row>
    <row r="19">
      <c r="G19">
        <f>IFERROR(IF(E19=0,0,D19/E19),"")</f>
        <v/>
      </c>
      <c r="H19">
        <f>IFERROR(IF(C19=0,0,B19/C19),"")</f>
        <v/>
      </c>
      <c r="I19">
        <f>IFERROR(IF(B19=0,0,D19/B19),"")</f>
        <v/>
      </c>
      <c r="J19">
        <f>IFERROR(IF(G19&lt;F19,"ABANDON - below breakeven, sell/trade route",IF(G19&lt;F19*1.5,"SURCHARGE - accept only with distance premium","ACCEPT - prime zone, take new customers even at discount")),"")</f>
        <v/>
      </c>
    </row>
    <row r="20">
      <c r="G20">
        <f>IFERROR(IF(E20=0,0,D20/E20),"")</f>
        <v/>
      </c>
      <c r="H20">
        <f>IFERROR(IF(C20=0,0,B20/C20),"")</f>
        <v/>
      </c>
      <c r="I20">
        <f>IFERROR(IF(B20=0,0,D20/B20),"")</f>
        <v/>
      </c>
      <c r="J20">
        <f>IFERROR(IF(G20&lt;F20,"ABANDON - below breakeven, sell/trade route",IF(G20&lt;F20*1.5,"SURCHARGE - accept only with distance premium","ACCEPT - prime zone, take new customers even at discount")),"")</f>
        <v/>
      </c>
    </row>
    <row r="21">
      <c r="G21">
        <f>IFERROR(IF(E21=0,0,D21/E21),"")</f>
        <v/>
      </c>
      <c r="H21">
        <f>IFERROR(IF(C21=0,0,B21/C21),"")</f>
        <v/>
      </c>
      <c r="I21">
        <f>IFERROR(IF(B21=0,0,D21/B21),"")</f>
        <v/>
      </c>
      <c r="J21">
        <f>IFERROR(IF(G21&lt;F21,"ABANDON - below breakeven, sell/trade route",IF(G21&lt;F21*1.5,"SURCHARGE - accept only with distance premium","ACCEPT - prime zone, take new customers even at discount")),"")</f>
        <v/>
      </c>
    </row>
    <row r="22">
      <c r="G22">
        <f>IFERROR(IF(E22=0,0,D22/E22),"")</f>
        <v/>
      </c>
      <c r="H22">
        <f>IFERROR(IF(C22=0,0,B22/C22),"")</f>
        <v/>
      </c>
      <c r="I22">
        <f>IFERROR(IF(B22=0,0,D22/B22),"")</f>
        <v/>
      </c>
      <c r="J22">
        <f>IFERROR(IF(G22&lt;F22,"ABANDON - below breakeven, sell/trade route",IF(G22&lt;F22*1.5,"SURCHARGE - accept only with distance premium","ACCEPT - prime zone, take new customers even at discount")),"")</f>
        <v/>
      </c>
    </row>
    <row r="23">
      <c r="G23">
        <f>IFERROR(IF(E23=0,0,D23/E23),"")</f>
        <v/>
      </c>
      <c r="H23">
        <f>IFERROR(IF(C23=0,0,B23/C23),"")</f>
        <v/>
      </c>
      <c r="I23">
        <f>IFERROR(IF(B23=0,0,D23/B23),"")</f>
        <v/>
      </c>
      <c r="J23">
        <f>IFERROR(IF(G23&lt;F23,"ABANDON - below breakeven, sell/trade route",IF(G23&lt;F23*1.5,"SURCHARGE - accept only with distance premium","ACCEPT - prime zone, take new customers even at discount")),"")</f>
        <v/>
      </c>
    </row>
    <row r="24">
      <c r="G24">
        <f>IFERROR(IF(E24=0,0,D24/E24),"")</f>
        <v/>
      </c>
      <c r="H24">
        <f>IFERROR(IF(C24=0,0,B24/C24),"")</f>
        <v/>
      </c>
      <c r="I24">
        <f>IFERROR(IF(B24=0,0,D24/B24),"")</f>
        <v/>
      </c>
      <c r="J24">
        <f>IFERROR(IF(G24&lt;F24,"ABANDON - below breakeven, sell/trade route",IF(G24&lt;F24*1.5,"SURCHARGE - accept only with distance premium","ACCEPT - prime zone, take new customers even at discount")),"")</f>
        <v/>
      </c>
    </row>
    <row r="25">
      <c r="G25">
        <f>IFERROR(IF(E25=0,0,D25/E25),"")</f>
        <v/>
      </c>
      <c r="H25">
        <f>IFERROR(IF(C25=0,0,B25/C25),"")</f>
        <v/>
      </c>
      <c r="I25">
        <f>IFERROR(IF(B25=0,0,D25/B25),"")</f>
        <v/>
      </c>
      <c r="J25">
        <f>IFERROR(IF(G25&lt;F25,"ABANDON - below breakeven, sell/trade route",IF(G25&lt;F25*1.5,"SURCHARGE - accept only with distance premium","ACCEPT - prime zone, take new customers even at discount")),"")</f>
        <v/>
      </c>
    </row>
  </sheetData>
  <mergeCells count="1">
    <mergeCell ref="A1:J3"/>
  </mergeCells>
  <conditionalFormatting sqref="G6:G25">
    <cfRule type="cellIs" priority="1" operator="lessThan" dxfId="0">
      <formula>65</formula>
    </cfRule>
    <cfRule type="cellIs" priority="2" operator="greaterThan" dxfId="1">
      <formula>100</formula>
    </cfRule>
  </conditionalFormatting>
  <conditionalFormatting sqref="H6:H25">
    <cfRule type="cellIs" priority="3" operator="lessThan" dxfId="0">
      <formula>0.5</formula>
    </cfRule>
    <cfRule type="cellIs" priority="4" operator="greaterThan" dxfId="1">
      <formula>1.5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0" customWidth="1" min="4" max="4"/>
    <col width="29" customWidth="1" min="5" max="5"/>
    <col width="24" customWidth="1" min="6" max="6"/>
    <col width="23" customWidth="1" min="7" max="7"/>
    <col width="27" customWidth="1" min="8" max="8"/>
    <col width="18" customWidth="1" min="9" max="9"/>
  </cols>
  <sheetData>
    <row r="1">
      <c r="A1" s="1" t="inlineStr">
        <is>
          <t>AI INSIGHT SUMMARY:
Your North zone yields $142/drive-hour with 12 stops packed into 6 miles -- this is your profit engine; accept any new customer here, even at a 15% discount. Your Far-West zone yields only $38/drive-hour across 3 scattered stops over 19 miles, which is below your $65/hour breakeven -- decline new west-side prospects unless they accept a $40 distance premium. The West territory as a whole has crossed into abandon economics; selling or trading those 3 stops to a competitor would free 4.2 drive-hours per week. Apply the New Customer Calculator before booking any prospect: it scored the sample prospect in Zone 4 as DECLINE because their zone yields under breakeven and adding them lengthens an already thin route.</t>
        </is>
      </c>
    </row>
    <row r="2"/>
    <row r="3"/>
    <row r="4"/>
    <row r="5">
      <c r="A5" s="2" t="inlineStr">
        <is>
          <t>Prospect Name</t>
        </is>
      </c>
      <c r="B5" s="2" t="inlineStr">
        <is>
          <t>Prospect Zone</t>
        </is>
      </c>
      <c r="C5" s="2" t="inlineStr">
        <is>
          <t>Quoted Monthly Price</t>
        </is>
      </c>
      <c r="D5" s="2" t="inlineStr">
        <is>
          <t>Extra Drive Time Added (min)</t>
        </is>
      </c>
      <c r="E5" s="2" t="inlineStr">
        <is>
          <t>Zone Revenue per Drive-Hour</t>
        </is>
      </c>
      <c r="F5" s="2" t="inlineStr">
        <is>
          <t>Breakeven $/Drive-Hour</t>
        </is>
      </c>
      <c r="G5" s="2" t="inlineStr">
        <is>
          <t>Marginal $/Drive-Hour</t>
        </is>
      </c>
      <c r="H5" s="2" t="inlineStr">
        <is>
          <t>Required Distance Premium</t>
        </is>
      </c>
      <c r="I5" s="2" t="inlineStr">
        <is>
          <t>Booking Decision</t>
        </is>
      </c>
    </row>
    <row r="6">
      <c r="A6" t="inlineStr">
        <is>
          <t>Johnson</t>
        </is>
      </c>
      <c r="B6" t="inlineStr">
        <is>
          <t>North</t>
        </is>
      </c>
      <c r="C6" t="n">
        <v>95</v>
      </c>
      <c r="D6" t="n">
        <v>5</v>
      </c>
      <c r="E6">
        <f>IFERROR(VLOOKUP(B6,'Zone Density Dashboard'!A:G,7,FALSE),0)</f>
        <v/>
      </c>
      <c r="F6" t="n">
        <v>65</v>
      </c>
      <c r="G6">
        <f>IFERROR(IF(D6=0,C6*4,C6/(D6/60)),"")</f>
        <v/>
      </c>
      <c r="H6">
        <f>IFERROR(MAX(0,ROUND(((F6-G6)*(D6/60)),0)),"")</f>
        <v/>
      </c>
      <c r="I6">
        <f>IFERROR(IF(G6&gt;=F6*1.5,"ACCEPT - profitable in this zone",IF(G6&gt;=F6,"ACCEPT WITH CARE - thin margin, prefer same zone","DECLINE unless they pay +$"&amp;H6&amp;"/mo premium")),"")</f>
        <v/>
      </c>
    </row>
    <row r="7">
      <c r="A7" t="inlineStr">
        <is>
          <t>Alvarez</t>
        </is>
      </c>
      <c r="B7" t="inlineStr">
        <is>
          <t>Central</t>
        </is>
      </c>
      <c r="C7" t="n">
        <v>80</v>
      </c>
      <c r="D7" t="n">
        <v>18</v>
      </c>
      <c r="E7">
        <f>IFERROR(VLOOKUP(B7,'Zone Density Dashboard'!A:G,7,FALSE),0)</f>
        <v/>
      </c>
      <c r="F7" t="n">
        <v>65</v>
      </c>
      <c r="G7">
        <f>IFERROR(IF(D7=0,C7*4,C7/(D7/60)),"")</f>
        <v/>
      </c>
      <c r="H7">
        <f>IFERROR(MAX(0,ROUND(((F7-G7)*(D7/60)),0)),"")</f>
        <v/>
      </c>
      <c r="I7">
        <f>IFERROR(IF(G7&gt;=F7*1.5,"ACCEPT - profitable in this zone",IF(G7&gt;=F7,"ACCEPT WITH CARE - thin margin, prefer same zone","DECLINE unless they pay +$"&amp;H7&amp;"/mo premium")),"")</f>
        <v/>
      </c>
    </row>
    <row r="8">
      <c r="A8" t="inlineStr">
        <is>
          <t>Becker</t>
        </is>
      </c>
      <c r="B8" t="inlineStr">
        <is>
          <t>East</t>
        </is>
      </c>
      <c r="C8" t="n">
        <v>70</v>
      </c>
      <c r="D8" t="n">
        <v>35</v>
      </c>
      <c r="E8">
        <f>IFERROR(VLOOKUP(B8,'Zone Density Dashboard'!A:G,7,FALSE),0)</f>
        <v/>
      </c>
      <c r="F8" t="n">
        <v>65</v>
      </c>
      <c r="G8">
        <f>IFERROR(IF(D8=0,C8*4,C8/(D8/60)),"")</f>
        <v/>
      </c>
      <c r="H8">
        <f>IFERROR(MAX(0,ROUND(((F8-G8)*(D8/60)),0)),"")</f>
        <v/>
      </c>
      <c r="I8">
        <f>IFERROR(IF(G8&gt;=F8*1.5,"ACCEPT - profitable in this zone",IF(G8&gt;=F8,"ACCEPT WITH CARE - thin margin, prefer same zone","DECLINE unless they pay +$"&amp;H8&amp;"/mo premium")),"")</f>
        <v/>
      </c>
    </row>
    <row r="9">
      <c r="A9" t="inlineStr">
        <is>
          <t>Tran</t>
        </is>
      </c>
      <c r="B9" t="inlineStr">
        <is>
          <t>Far-West</t>
        </is>
      </c>
      <c r="C9" t="n">
        <v>75</v>
      </c>
      <c r="D9" t="n">
        <v>42</v>
      </c>
      <c r="E9">
        <f>IFERROR(VLOOKUP(B9,'Zone Density Dashboard'!A:G,7,FALSE),0)</f>
        <v/>
      </c>
      <c r="F9" t="n">
        <v>65</v>
      </c>
      <c r="G9">
        <f>IFERROR(IF(D9=0,C9*4,C9/(D9/60)),"")</f>
        <v/>
      </c>
      <c r="H9">
        <f>IFERROR(MAX(0,ROUND(((F9-G9)*(D9/60)),0)),"")</f>
        <v/>
      </c>
      <c r="I9">
        <f>IFERROR(IF(G9&gt;=F9*1.5,"ACCEPT - profitable in this zone",IF(G9&gt;=F9,"ACCEPT WITH CARE - thin margin, prefer same zone","DECLINE unless they pay +$"&amp;H9&amp;"/mo premium")),"")</f>
        <v/>
      </c>
    </row>
    <row r="10">
      <c r="A10" t="inlineStr">
        <is>
          <t>Williams</t>
        </is>
      </c>
      <c r="B10" t="inlineStr">
        <is>
          <t>Far-West</t>
        </is>
      </c>
      <c r="C10" t="n">
        <v>45</v>
      </c>
      <c r="D10" t="n">
        <v>55</v>
      </c>
      <c r="E10">
        <f>IFERROR(VLOOKUP(B10,'Zone Density Dashboard'!A:G,7,FALSE),0)</f>
        <v/>
      </c>
      <c r="F10" t="n">
        <v>65</v>
      </c>
      <c r="G10">
        <f>IFERROR(IF(D10=0,C10*4,C10/(D10/60)),"")</f>
        <v/>
      </c>
      <c r="H10">
        <f>IFERROR(MAX(0,ROUND(((F10-G10)*(D10/60)),0)),"")</f>
        <v/>
      </c>
      <c r="I10">
        <f>IFERROR(IF(G10&gt;=F10*1.5,"ACCEPT - profitable in this zone",IF(G10&gt;=F10,"ACCEPT WITH CARE - thin margin, prefer same zone","DECLINE unless they pay +$"&amp;H10&amp;"/mo premium")),"")</f>
        <v/>
      </c>
    </row>
    <row r="11">
      <c r="E11">
        <f>IFERROR(VLOOKUP(B11,'Zone Density Dashboard'!A:G,7,FALSE),0)</f>
        <v/>
      </c>
      <c r="G11">
        <f>IFERROR(IF(D11=0,C11*4,C11/(D11/60)),"")</f>
        <v/>
      </c>
      <c r="H11">
        <f>IFERROR(MAX(0,ROUND(((F11-G11)*(D11/60)),0)),"")</f>
        <v/>
      </c>
      <c r="I11">
        <f>IFERROR(IF(G11&gt;=F11*1.5,"ACCEPT - profitable in this zone",IF(G11&gt;=F11,"ACCEPT WITH CARE - thin margin, prefer same zone","DECLINE unless they pay +$"&amp;H11&amp;"/mo premium")),"")</f>
        <v/>
      </c>
    </row>
    <row r="12">
      <c r="E12">
        <f>IFERROR(VLOOKUP(B12,'Zone Density Dashboard'!A:G,7,FALSE),0)</f>
        <v/>
      </c>
      <c r="G12">
        <f>IFERROR(IF(D12=0,C12*4,C12/(D12/60)),"")</f>
        <v/>
      </c>
      <c r="H12">
        <f>IFERROR(MAX(0,ROUND(((F12-G12)*(D12/60)),0)),"")</f>
        <v/>
      </c>
      <c r="I12">
        <f>IFERROR(IF(G12&gt;=F12*1.5,"ACCEPT - profitable in this zone",IF(G12&gt;=F12,"ACCEPT WITH CARE - thin margin, prefer same zone","DECLINE unless they pay +$"&amp;H12&amp;"/mo premium")),"")</f>
        <v/>
      </c>
    </row>
    <row r="13">
      <c r="E13">
        <f>IFERROR(VLOOKUP(B13,'Zone Density Dashboard'!A:G,7,FALSE),0)</f>
        <v/>
      </c>
      <c r="G13">
        <f>IFERROR(IF(D13=0,C13*4,C13/(D13/60)),"")</f>
        <v/>
      </c>
      <c r="H13">
        <f>IFERROR(MAX(0,ROUND(((F13-G13)*(D13/60)),0)),"")</f>
        <v/>
      </c>
      <c r="I13">
        <f>IFERROR(IF(G13&gt;=F13*1.5,"ACCEPT - profitable in this zone",IF(G13&gt;=F13,"ACCEPT WITH CARE - thin margin, prefer same zone","DECLINE unless they pay +$"&amp;H13&amp;"/mo premium")),"")</f>
        <v/>
      </c>
    </row>
    <row r="14">
      <c r="E14">
        <f>IFERROR(VLOOKUP(B14,'Zone Density Dashboard'!A:G,7,FALSE),0)</f>
        <v/>
      </c>
      <c r="G14">
        <f>IFERROR(IF(D14=0,C14*4,C14/(D14/60)),"")</f>
        <v/>
      </c>
      <c r="H14">
        <f>IFERROR(MAX(0,ROUND(((F14-G14)*(D14/60)),0)),"")</f>
        <v/>
      </c>
      <c r="I14">
        <f>IFERROR(IF(G14&gt;=F14*1.5,"ACCEPT - profitable in this zone",IF(G14&gt;=F14,"ACCEPT WITH CARE - thin margin, prefer same zone","DECLINE unless they pay +$"&amp;H14&amp;"/mo premium")),"")</f>
        <v/>
      </c>
    </row>
    <row r="15">
      <c r="E15">
        <f>IFERROR(VLOOKUP(B15,'Zone Density Dashboard'!A:G,7,FALSE),0)</f>
        <v/>
      </c>
      <c r="G15">
        <f>IFERROR(IF(D15=0,C15*4,C15/(D15/60)),"")</f>
        <v/>
      </c>
      <c r="H15">
        <f>IFERROR(MAX(0,ROUND(((F15-G15)*(D15/60)),0)),"")</f>
        <v/>
      </c>
      <c r="I15">
        <f>IFERROR(IF(G15&gt;=F15*1.5,"ACCEPT - profitable in this zone",IF(G15&gt;=F15,"ACCEPT WITH CARE - thin margin, prefer same zone","DECLINE unless they pay +$"&amp;H15&amp;"/mo premium")),"")</f>
        <v/>
      </c>
    </row>
    <row r="16">
      <c r="E16">
        <f>IFERROR(VLOOKUP(B16,'Zone Density Dashboard'!A:G,7,FALSE),0)</f>
        <v/>
      </c>
      <c r="G16">
        <f>IFERROR(IF(D16=0,C16*4,C16/(D16/60)),"")</f>
        <v/>
      </c>
      <c r="H16">
        <f>IFERROR(MAX(0,ROUND(((F16-G16)*(D16/60)),0)),"")</f>
        <v/>
      </c>
      <c r="I16">
        <f>IFERROR(IF(G16&gt;=F16*1.5,"ACCEPT - profitable in this zone",IF(G16&gt;=F16,"ACCEPT WITH CARE - thin margin, prefer same zone","DECLINE unless they pay +$"&amp;H16&amp;"/mo premium")),"")</f>
        <v/>
      </c>
    </row>
    <row r="17">
      <c r="E17">
        <f>IFERROR(VLOOKUP(B17,'Zone Density Dashboard'!A:G,7,FALSE),0)</f>
        <v/>
      </c>
      <c r="G17">
        <f>IFERROR(IF(D17=0,C17*4,C17/(D17/60)),"")</f>
        <v/>
      </c>
      <c r="H17">
        <f>IFERROR(MAX(0,ROUND(((F17-G17)*(D17/60)),0)),"")</f>
        <v/>
      </c>
      <c r="I17">
        <f>IFERROR(IF(G17&gt;=F17*1.5,"ACCEPT - profitable in this zone",IF(G17&gt;=F17,"ACCEPT WITH CARE - thin margin, prefer same zone","DECLINE unless they pay +$"&amp;H17&amp;"/mo premium")),"")</f>
        <v/>
      </c>
    </row>
    <row r="18">
      <c r="E18">
        <f>IFERROR(VLOOKUP(B18,'Zone Density Dashboard'!A:G,7,FALSE),0)</f>
        <v/>
      </c>
      <c r="G18">
        <f>IFERROR(IF(D18=0,C18*4,C18/(D18/60)),"")</f>
        <v/>
      </c>
      <c r="H18">
        <f>IFERROR(MAX(0,ROUND(((F18-G18)*(D18/60)),0)),"")</f>
        <v/>
      </c>
      <c r="I18">
        <f>IFERROR(IF(G18&gt;=F18*1.5,"ACCEPT - profitable in this zone",IF(G18&gt;=F18,"ACCEPT WITH CARE - thin margin, prefer same zone","DECLINE unless they pay +$"&amp;H18&amp;"/mo premium")),"")</f>
        <v/>
      </c>
    </row>
    <row r="19">
      <c r="E19">
        <f>IFERROR(VLOOKUP(B19,'Zone Density Dashboard'!A:G,7,FALSE),0)</f>
        <v/>
      </c>
      <c r="G19">
        <f>IFERROR(IF(D19=0,C19*4,C19/(D19/60)),"")</f>
        <v/>
      </c>
      <c r="H19">
        <f>IFERROR(MAX(0,ROUND(((F19-G19)*(D19/60)),0)),"")</f>
        <v/>
      </c>
      <c r="I19">
        <f>IFERROR(IF(G19&gt;=F19*1.5,"ACCEPT - profitable in this zone",IF(G19&gt;=F19,"ACCEPT WITH CARE - thin margin, prefer same zone","DECLINE unless they pay +$"&amp;H19&amp;"/mo premium")),"")</f>
        <v/>
      </c>
    </row>
    <row r="20">
      <c r="E20">
        <f>IFERROR(VLOOKUP(B20,'Zone Density Dashboard'!A:G,7,FALSE),0)</f>
        <v/>
      </c>
      <c r="G20">
        <f>IFERROR(IF(D20=0,C20*4,C20/(D20/60)),"")</f>
        <v/>
      </c>
      <c r="H20">
        <f>IFERROR(MAX(0,ROUND(((F20-G20)*(D20/60)),0)),"")</f>
        <v/>
      </c>
      <c r="I20">
        <f>IFERROR(IF(G20&gt;=F20*1.5,"ACCEPT - profitable in this zone",IF(G20&gt;=F20,"ACCEPT WITH CARE - thin margin, prefer same zone","DECLINE unless they pay +$"&amp;H20&amp;"/mo premium")),"")</f>
        <v/>
      </c>
    </row>
    <row r="21">
      <c r="E21">
        <f>IFERROR(VLOOKUP(B21,'Zone Density Dashboard'!A:G,7,FALSE),0)</f>
        <v/>
      </c>
      <c r="G21">
        <f>IFERROR(IF(D21=0,C21*4,C21/(D21/60)),"")</f>
        <v/>
      </c>
      <c r="H21">
        <f>IFERROR(MAX(0,ROUND(((F21-G21)*(D21/60)),0)),"")</f>
        <v/>
      </c>
      <c r="I21">
        <f>IFERROR(IF(G21&gt;=F21*1.5,"ACCEPT - profitable in this zone",IF(G21&gt;=F21,"ACCEPT WITH CARE - thin margin, prefer same zone","DECLINE unless they pay +$"&amp;H21&amp;"/mo premium")),"")</f>
        <v/>
      </c>
    </row>
    <row r="22">
      <c r="E22">
        <f>IFERROR(VLOOKUP(B22,'Zone Density Dashboard'!A:G,7,FALSE),0)</f>
        <v/>
      </c>
      <c r="G22">
        <f>IFERROR(IF(D22=0,C22*4,C22/(D22/60)),"")</f>
        <v/>
      </c>
      <c r="H22">
        <f>IFERROR(MAX(0,ROUND(((F22-G22)*(D22/60)),0)),"")</f>
        <v/>
      </c>
      <c r="I22">
        <f>IFERROR(IF(G22&gt;=F22*1.5,"ACCEPT - profitable in this zone",IF(G22&gt;=F22,"ACCEPT WITH CARE - thin margin, prefer same zone","DECLINE unless they pay +$"&amp;H22&amp;"/mo premium")),"")</f>
        <v/>
      </c>
    </row>
    <row r="23">
      <c r="E23">
        <f>IFERROR(VLOOKUP(B23,'Zone Density Dashboard'!A:G,7,FALSE),0)</f>
        <v/>
      </c>
      <c r="G23">
        <f>IFERROR(IF(D23=0,C23*4,C23/(D23/60)),"")</f>
        <v/>
      </c>
      <c r="H23">
        <f>IFERROR(MAX(0,ROUND(((F23-G23)*(D23/60)),0)),"")</f>
        <v/>
      </c>
      <c r="I23">
        <f>IFERROR(IF(G23&gt;=F23*1.5,"ACCEPT - profitable in this zone",IF(G23&gt;=F23,"ACCEPT WITH CARE - thin margin, prefer same zone","DECLINE unless they pay +$"&amp;H23&amp;"/mo premium")),"")</f>
        <v/>
      </c>
    </row>
    <row r="24">
      <c r="E24">
        <f>IFERROR(VLOOKUP(B24,'Zone Density Dashboard'!A:G,7,FALSE),0)</f>
        <v/>
      </c>
      <c r="G24">
        <f>IFERROR(IF(D24=0,C24*4,C24/(D24/60)),"")</f>
        <v/>
      </c>
      <c r="H24">
        <f>IFERROR(MAX(0,ROUND(((F24-G24)*(D24/60)),0)),"")</f>
        <v/>
      </c>
      <c r="I24">
        <f>IFERROR(IF(G24&gt;=F24*1.5,"ACCEPT - profitable in this zone",IF(G24&gt;=F24,"ACCEPT WITH CARE - thin margin, prefer same zone","DECLINE unless they pay +$"&amp;H24&amp;"/mo premium")),"")</f>
        <v/>
      </c>
    </row>
    <row r="25">
      <c r="E25">
        <f>IFERROR(VLOOKUP(B25,'Zone Density Dashboard'!A:G,7,FALSE),0)</f>
        <v/>
      </c>
      <c r="G25">
        <f>IFERROR(IF(D25=0,C25*4,C25/(D25/60)),"")</f>
        <v/>
      </c>
      <c r="H25">
        <f>IFERROR(MAX(0,ROUND(((F25-G25)*(D25/60)),0)),"")</f>
        <v/>
      </c>
      <c r="I25">
        <f>IFERROR(IF(G25&gt;=F25*1.5,"ACCEPT - profitable in this zone",IF(G25&gt;=F25,"ACCEPT WITH CARE - thin margin, prefer same zone","DECLINE unless they pay +$"&amp;H25&amp;"/mo premium")),"")</f>
        <v/>
      </c>
    </row>
  </sheetData>
  <mergeCells count="1">
    <mergeCell ref="A1:I3"/>
  </mergeCells>
  <conditionalFormatting sqref="G6:G25">
    <cfRule type="cellIs" priority="1" operator="lessThan" dxfId="0">
      <formula>65</formula>
    </cfRule>
    <cfRule type="cellIs" priority="2" operator="greaterThan" dxfId="1">
      <formula>100</formula>
    </cfRule>
  </conditionalFormatting>
  <conditionalFormatting sqref="H6:H25">
    <cfRule type="cellIs" priority="3" operator="greaterThan" dxfId="2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4" customWidth="1" min="3" max="3"/>
    <col width="21" customWidth="1" min="4" max="4"/>
    <col width="23" customWidth="1" min="5" max="5"/>
    <col width="33" customWidth="1" min="6" max="6"/>
    <col width="16" customWidth="1" min="7" max="7"/>
  </cols>
  <sheetData>
    <row r="1">
      <c r="A1" s="1" t="inlineStr">
        <is>
          <t>AI INSIGHT SUMMARY:
Your North zone yields $142/drive-hour with 12 stops packed into 6 miles -- this is your profit engine; accept any new customer here, even at a 15% discount. Your Far-West zone yields only $38/drive-hour across 3 scattered stops over 19 miles, which is below your $65/hour breakeven -- decline new west-side prospects unless they accept a $40 distance premium. The West territory as a whole has crossed into abandon economics; selling or trading those 3 stops to a competitor would free 4.2 drive-hours per week. Apply the New Customer Calculator before booking any prospect: it scored the sample prospect in Zone 4 as DECLINE because their zone yields under breakeven and adding them lengthens an already thin route.</t>
        </is>
      </c>
    </row>
    <row r="2"/>
    <row r="3"/>
    <row r="4"/>
    <row r="5">
      <c r="A5" s="2" t="inlineStr">
        <is>
          <t>Distance Band (miles)</t>
        </is>
      </c>
      <c r="B5" s="2" t="inlineStr">
        <is>
          <t>Round-Trip Drive Time (min)</t>
        </is>
      </c>
      <c r="C5" s="2" t="inlineStr">
        <is>
          <t>Breakeven $/Drive-Hour</t>
        </is>
      </c>
      <c r="D5" s="2" t="inlineStr">
        <is>
          <t>Drive Cost to Serve</t>
        </is>
      </c>
      <c r="E5" s="2" t="inlineStr">
        <is>
          <t>Minimum Monthly Price</t>
        </is>
      </c>
      <c r="F5" s="2" t="inlineStr">
        <is>
          <t>Recommended Price (with margin)</t>
        </is>
      </c>
      <c r="G5" s="2" t="inlineStr">
        <is>
          <t>Pricing Rule</t>
        </is>
      </c>
    </row>
    <row r="6">
      <c r="A6" t="inlineStr">
        <is>
          <t>0-3</t>
        </is>
      </c>
      <c r="B6" t="n">
        <v>10</v>
      </c>
      <c r="C6" t="n">
        <v>65</v>
      </c>
      <c r="D6">
        <f>IFERROR(ROUND(B6/60*C6,2),"")</f>
        <v/>
      </c>
      <c r="E6">
        <f>IFERROR(ROUND(D6*4.33,0),"")</f>
        <v/>
      </c>
      <c r="F6">
        <f>IFERROR(ROUND(E6*1.35,0),"")</f>
        <v/>
      </c>
      <c r="G6">
        <f>IFERROR(IF(B6&gt;60,"Quote at least $"&amp;F6&amp;" or decline","Standard zone pricing applies, min $"&amp;E6),"")</f>
        <v/>
      </c>
    </row>
    <row r="7">
      <c r="A7" t="inlineStr">
        <is>
          <t>4-7</t>
        </is>
      </c>
      <c r="B7" t="n">
        <v>22</v>
      </c>
      <c r="C7" t="n">
        <v>65</v>
      </c>
      <c r="D7">
        <f>IFERROR(ROUND(B7/60*C7,2),"")</f>
        <v/>
      </c>
      <c r="E7">
        <f>IFERROR(ROUND(D7*4.33,0),"")</f>
        <v/>
      </c>
      <c r="F7">
        <f>IFERROR(ROUND(E7*1.35,0),"")</f>
        <v/>
      </c>
      <c r="G7">
        <f>IFERROR(IF(B7&gt;60,"Quote at least $"&amp;F7&amp;" or decline","Standard zone pricing applies, min $"&amp;E7),"")</f>
        <v/>
      </c>
    </row>
    <row r="8">
      <c r="A8" t="inlineStr">
        <is>
          <t>8-12</t>
        </is>
      </c>
      <c r="B8" t="n">
        <v>38</v>
      </c>
      <c r="C8" t="n">
        <v>65</v>
      </c>
      <c r="D8">
        <f>IFERROR(ROUND(B8/60*C8,2),"")</f>
        <v/>
      </c>
      <c r="E8">
        <f>IFERROR(ROUND(D8*4.33,0),"")</f>
        <v/>
      </c>
      <c r="F8">
        <f>IFERROR(ROUND(E8*1.35,0),"")</f>
        <v/>
      </c>
      <c r="G8">
        <f>IFERROR(IF(B8&gt;60,"Quote at least $"&amp;F8&amp;" or decline","Standard zone pricing applies, min $"&amp;E8),"")</f>
        <v/>
      </c>
    </row>
    <row r="9">
      <c r="A9" t="inlineStr">
        <is>
          <t>13-18</t>
        </is>
      </c>
      <c r="B9" t="n">
        <v>56</v>
      </c>
      <c r="C9" t="n">
        <v>65</v>
      </c>
      <c r="D9">
        <f>IFERROR(ROUND(B9/60*C9,2),"")</f>
        <v/>
      </c>
      <c r="E9">
        <f>IFERROR(ROUND(D9*4.33,0),"")</f>
        <v/>
      </c>
      <c r="F9">
        <f>IFERROR(ROUND(E9*1.35,0),"")</f>
        <v/>
      </c>
      <c r="G9">
        <f>IFERROR(IF(B9&gt;60,"Quote at least $"&amp;F9&amp;" or decline","Standard zone pricing applies, min $"&amp;E9),"")</f>
        <v/>
      </c>
    </row>
    <row r="10">
      <c r="A10" t="inlineStr">
        <is>
          <t>19+</t>
        </is>
      </c>
      <c r="B10" t="n">
        <v>75</v>
      </c>
      <c r="C10" t="n">
        <v>65</v>
      </c>
      <c r="D10">
        <f>IFERROR(ROUND(B10/60*C10,2),"")</f>
        <v/>
      </c>
      <c r="E10">
        <f>IFERROR(ROUND(D10*4.33,0),"")</f>
        <v/>
      </c>
      <c r="F10">
        <f>IFERROR(ROUND(E10*1.35,0),"")</f>
        <v/>
      </c>
      <c r="G10">
        <f>IFERROR(IF(B10&gt;60,"Quote at least $"&amp;F10&amp;" or decline","Standard zone pricing applies, min $"&amp;E10),"")</f>
        <v/>
      </c>
    </row>
    <row r="11">
      <c r="D11">
        <f>IFERROR(ROUND(B11/60*C11,2),"")</f>
        <v/>
      </c>
      <c r="E11">
        <f>IFERROR(ROUND(D11*4.33,0),"")</f>
        <v/>
      </c>
      <c r="F11">
        <f>IFERROR(ROUND(E11*1.35,0),"")</f>
        <v/>
      </c>
      <c r="G11">
        <f>IFERROR(IF(B11&gt;60,"Quote at least $"&amp;F11&amp;" or decline","Standard zone pricing applies, min $"&amp;E11),"")</f>
        <v/>
      </c>
    </row>
    <row r="12">
      <c r="D12">
        <f>IFERROR(ROUND(B12/60*C12,2),"")</f>
        <v/>
      </c>
      <c r="E12">
        <f>IFERROR(ROUND(D12*4.33,0),"")</f>
        <v/>
      </c>
      <c r="F12">
        <f>IFERROR(ROUND(E12*1.35,0),"")</f>
        <v/>
      </c>
      <c r="G12">
        <f>IFERROR(IF(B12&gt;60,"Quote at least $"&amp;F12&amp;" or decline","Standard zone pricing applies, min $"&amp;E12),"")</f>
        <v/>
      </c>
    </row>
    <row r="13">
      <c r="D13">
        <f>IFERROR(ROUND(B13/60*C13,2),"")</f>
        <v/>
      </c>
      <c r="E13">
        <f>IFERROR(ROUND(D13*4.33,0),"")</f>
        <v/>
      </c>
      <c r="F13">
        <f>IFERROR(ROUND(E13*1.35,0),"")</f>
        <v/>
      </c>
      <c r="G13">
        <f>IFERROR(IF(B13&gt;60,"Quote at least $"&amp;F13&amp;" or decline","Standard zone pricing applies, min $"&amp;E13),"")</f>
        <v/>
      </c>
    </row>
    <row r="14">
      <c r="D14">
        <f>IFERROR(ROUND(B14/60*C14,2),"")</f>
        <v/>
      </c>
      <c r="E14">
        <f>IFERROR(ROUND(D14*4.33,0),"")</f>
        <v/>
      </c>
      <c r="F14">
        <f>IFERROR(ROUND(E14*1.35,0),"")</f>
        <v/>
      </c>
      <c r="G14">
        <f>IFERROR(IF(B14&gt;60,"Quote at least $"&amp;F14&amp;" or decline","Standard zone pricing applies, min $"&amp;E14),"")</f>
        <v/>
      </c>
    </row>
    <row r="15">
      <c r="D15">
        <f>IFERROR(ROUND(B15/60*C15,2),"")</f>
        <v/>
      </c>
      <c r="E15">
        <f>IFERROR(ROUND(D15*4.33,0),"")</f>
        <v/>
      </c>
      <c r="F15">
        <f>IFERROR(ROUND(E15*1.35,0),"")</f>
        <v/>
      </c>
      <c r="G15">
        <f>IFERROR(IF(B15&gt;60,"Quote at least $"&amp;F15&amp;" or decline","Standard zone pricing applies, min $"&amp;E15),"")</f>
        <v/>
      </c>
    </row>
    <row r="16">
      <c r="D16">
        <f>IFERROR(ROUND(B16/60*C16,2),"")</f>
        <v/>
      </c>
      <c r="E16">
        <f>IFERROR(ROUND(D16*4.33,0),"")</f>
        <v/>
      </c>
      <c r="F16">
        <f>IFERROR(ROUND(E16*1.35,0),"")</f>
        <v/>
      </c>
      <c r="G16">
        <f>IFERROR(IF(B16&gt;60,"Quote at least $"&amp;F16&amp;" or decline","Standard zone pricing applies, min $"&amp;E16),"")</f>
        <v/>
      </c>
    </row>
    <row r="17">
      <c r="D17">
        <f>IFERROR(ROUND(B17/60*C17,2),"")</f>
        <v/>
      </c>
      <c r="E17">
        <f>IFERROR(ROUND(D17*4.33,0),"")</f>
        <v/>
      </c>
      <c r="F17">
        <f>IFERROR(ROUND(E17*1.35,0),"")</f>
        <v/>
      </c>
      <c r="G17">
        <f>IFERROR(IF(B17&gt;60,"Quote at least $"&amp;F17&amp;" or decline","Standard zone pricing applies, min $"&amp;E17),"")</f>
        <v/>
      </c>
    </row>
    <row r="18">
      <c r="D18">
        <f>IFERROR(ROUND(B18/60*C18,2),"")</f>
        <v/>
      </c>
      <c r="E18">
        <f>IFERROR(ROUND(D18*4.33,0),"")</f>
        <v/>
      </c>
      <c r="F18">
        <f>IFERROR(ROUND(E18*1.35,0),"")</f>
        <v/>
      </c>
      <c r="G18">
        <f>IFERROR(IF(B18&gt;60,"Quote at least $"&amp;F18&amp;" or decline","Standard zone pricing applies, min $"&amp;E18),"")</f>
        <v/>
      </c>
    </row>
    <row r="19">
      <c r="D19">
        <f>IFERROR(ROUND(B19/60*C19,2),"")</f>
        <v/>
      </c>
      <c r="E19">
        <f>IFERROR(ROUND(D19*4.33,0),"")</f>
        <v/>
      </c>
      <c r="F19">
        <f>IFERROR(ROUND(E19*1.35,0),"")</f>
        <v/>
      </c>
      <c r="G19">
        <f>IFERROR(IF(B19&gt;60,"Quote at least $"&amp;F19&amp;" or decline","Standard zone pricing applies, min $"&amp;E19),"")</f>
        <v/>
      </c>
    </row>
    <row r="20">
      <c r="D20">
        <f>IFERROR(ROUND(B20/60*C20,2),"")</f>
        <v/>
      </c>
      <c r="E20">
        <f>IFERROR(ROUND(D20*4.33,0),"")</f>
        <v/>
      </c>
      <c r="F20">
        <f>IFERROR(ROUND(E20*1.35,0),"")</f>
        <v/>
      </c>
      <c r="G20">
        <f>IFERROR(IF(B20&gt;60,"Quote at least $"&amp;F20&amp;" or decline","Standard zone pricing applies, min $"&amp;E20),"")</f>
        <v/>
      </c>
    </row>
    <row r="21">
      <c r="D21">
        <f>IFERROR(ROUND(B21/60*C21,2),"")</f>
        <v/>
      </c>
      <c r="E21">
        <f>IFERROR(ROUND(D21*4.33,0),"")</f>
        <v/>
      </c>
      <c r="F21">
        <f>IFERROR(ROUND(E21*1.35,0),"")</f>
        <v/>
      </c>
      <c r="G21">
        <f>IFERROR(IF(B21&gt;60,"Quote at least $"&amp;F21&amp;" or decline","Standard zone pricing applies, min $"&amp;E21),"")</f>
        <v/>
      </c>
    </row>
    <row r="22">
      <c r="D22">
        <f>IFERROR(ROUND(B22/60*C22,2),"")</f>
        <v/>
      </c>
      <c r="E22">
        <f>IFERROR(ROUND(D22*4.33,0),"")</f>
        <v/>
      </c>
      <c r="F22">
        <f>IFERROR(ROUND(E22*1.35,0),"")</f>
        <v/>
      </c>
      <c r="G22">
        <f>IFERROR(IF(B22&gt;60,"Quote at least $"&amp;F22&amp;" or decline","Standard zone pricing applies, min $"&amp;E22),"")</f>
        <v/>
      </c>
    </row>
    <row r="23">
      <c r="D23">
        <f>IFERROR(ROUND(B23/60*C23,2),"")</f>
        <v/>
      </c>
      <c r="E23">
        <f>IFERROR(ROUND(D23*4.33,0),"")</f>
        <v/>
      </c>
      <c r="F23">
        <f>IFERROR(ROUND(E23*1.35,0),"")</f>
        <v/>
      </c>
      <c r="G23">
        <f>IFERROR(IF(B23&gt;60,"Quote at least $"&amp;F23&amp;" or decline","Standard zone pricing applies, min $"&amp;E23),"")</f>
        <v/>
      </c>
    </row>
    <row r="24">
      <c r="D24">
        <f>IFERROR(ROUND(B24/60*C24,2),"")</f>
        <v/>
      </c>
      <c r="E24">
        <f>IFERROR(ROUND(D24*4.33,0),"")</f>
        <v/>
      </c>
      <c r="F24">
        <f>IFERROR(ROUND(E24*1.35,0),"")</f>
        <v/>
      </c>
      <c r="G24">
        <f>IFERROR(IF(B24&gt;60,"Quote at least $"&amp;F24&amp;" or decline","Standard zone pricing applies, min $"&amp;E24),"")</f>
        <v/>
      </c>
    </row>
    <row r="25">
      <c r="D25">
        <f>IFERROR(ROUND(B25/60*C25,2),"")</f>
        <v/>
      </c>
      <c r="E25">
        <f>IFERROR(ROUND(D25*4.33,0),"")</f>
        <v/>
      </c>
      <c r="F25">
        <f>IFERROR(ROUND(E25*1.35,0),"")</f>
        <v/>
      </c>
      <c r="G25">
        <f>IFERROR(IF(B25&gt;60,"Quote at least $"&amp;F25&amp;" or decline","Standard zone pricing applies, min $"&amp;E25),"")</f>
        <v/>
      </c>
    </row>
  </sheetData>
  <mergeCells count="1">
    <mergeCell ref="A1:G3"/>
  </mergeCells>
  <conditionalFormatting sqref="B6:B25">
    <cfRule type="cellIs" priority="1" operator="greaterThan" dxfId="0">
      <formula>60</formula>
    </cfRule>
    <cfRule type="cellIs" priority="2" operator="lessThan" dxfId="1">
      <formula>20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2026-06-29T02:49:48Z</dcterms:created>
  <dcterms:modified xsi:type="dcterms:W3CDTF">2026-06-29T03:44:05Z</dcterms:modified>
</cp:coreProperties>
</file>