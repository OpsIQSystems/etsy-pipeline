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 Decision Engine" sheetId="1" state="visible" r:id="rId1"/>
    <sheet name="Job History Ranking" sheetId="2" state="visible" r:id="rId2"/>
    <sheet name="Settings &amp; Bench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18" customWidth="1" min="8" max="8"/>
    <col width="17" customWidth="1" min="9" max="9"/>
    <col width="18" customWidth="1" min="10" max="10"/>
    <col width="16" customWidth="1" min="11" max="11"/>
    <col width="16" customWidth="1" min="12" max="12"/>
    <col width="18" customWidth="1" min="13" max="13"/>
    <col width="20" customWidth="1" min="14" max="14"/>
    <col width="17" customWidth="1" min="15" max="15"/>
    <col width="19" customWidth="1" min="16" max="16"/>
    <col width="16" customWidth="1" min="17" max="17"/>
  </cols>
  <sheetData>
    <row r="1">
      <c r="A1" s="1" t="inlineStr">
        <is>
          <t>AI INSIGHT SUMMARY:
Job #4 (Rooftop AC Replacement) returns $94/hour in profit -- 38% higher than your shop average of $68/hour -- so prioritize quoting similar full-system replacements. Two pending bids are flagged RED: the Ductwork Retrofit quote of $2,100 yields only a 9% margin against your 25% breakeven threshold; raise it to $2,640 or decline. Jobs over 50 miles of drive distance have averaged 11% lower margin this year, so the system has added a recommended $75 travel surcharge to the two long-haul bids. Service-call jobs under 4 labor hours are consistently your lowest profit-per-hour work -- batch or minimum-charge these rather than chasing them individually.</t>
        </is>
      </c>
    </row>
    <row r="2"/>
    <row r="3"/>
    <row r="4"/>
    <row r="5">
      <c r="A5" s="2" t="inlineStr">
        <is>
          <t>Job Name</t>
        </is>
      </c>
      <c r="B5" s="2" t="inlineStr">
        <is>
          <t>Job Type</t>
        </is>
      </c>
      <c r="C5" s="2" t="inlineStr">
        <is>
          <t>Quoted Price</t>
        </is>
      </c>
      <c r="D5" s="2" t="inlineStr">
        <is>
          <t>Materials Cost</t>
        </is>
      </c>
      <c r="E5" s="2" t="inlineStr">
        <is>
          <t>Labor Hours</t>
        </is>
      </c>
      <c r="F5" s="2" t="inlineStr">
        <is>
          <t>Labor Rate</t>
        </is>
      </c>
      <c r="G5" s="2" t="inlineStr">
        <is>
          <t>Drive Distance (mi)</t>
        </is>
      </c>
      <c r="H5" s="2" t="inlineStr">
        <is>
          <t>Overhead Per Job</t>
        </is>
      </c>
      <c r="I5" s="2" t="inlineStr">
        <is>
          <t>Target Margin %</t>
        </is>
      </c>
      <c r="J5" s="2" t="inlineStr">
        <is>
          <t>Travel Surcharge</t>
        </is>
      </c>
      <c r="K5" s="2" t="inlineStr">
        <is>
          <t>Labor Cost</t>
        </is>
      </c>
      <c r="L5" s="2" t="inlineStr">
        <is>
          <t>Total Cost</t>
        </is>
      </c>
      <c r="M5" s="2" t="inlineStr">
        <is>
          <t>Projected Profit</t>
        </is>
      </c>
      <c r="N5" s="2" t="inlineStr">
        <is>
          <t>Projected Margin %</t>
        </is>
      </c>
      <c r="O5" s="2" t="inlineStr">
        <is>
          <t>Breakeven Price</t>
        </is>
      </c>
      <c r="P5" s="2" t="inlineStr">
        <is>
          <t>Recommended Quote</t>
        </is>
      </c>
      <c r="Q5" s="2" t="inlineStr">
        <is>
          <t>Verdict</t>
        </is>
      </c>
    </row>
    <row r="6">
      <c r="A6" t="inlineStr">
        <is>
          <t>Rooftop AC Replacement</t>
        </is>
      </c>
      <c r="B6" t="inlineStr">
        <is>
          <t>Full System</t>
        </is>
      </c>
      <c r="C6" t="n">
        <v>8200</v>
      </c>
      <c r="D6" t="n">
        <v>3400</v>
      </c>
      <c r="E6" t="n">
        <v>32</v>
      </c>
      <c r="F6" t="n">
        <v>65</v>
      </c>
      <c r="G6" t="n">
        <v>14</v>
      </c>
      <c r="H6" t="n">
        <v>350</v>
      </c>
      <c r="I6" t="n">
        <v>25</v>
      </c>
      <c r="J6">
        <f>IFERROR(IF(G6&gt;50,75,0),"")</f>
        <v/>
      </c>
      <c r="K6">
        <f>IFERROR(E6*F6,"")</f>
        <v/>
      </c>
      <c r="L6">
        <f>IFERROR(D6+K6+H6-J6,"")</f>
        <v/>
      </c>
      <c r="M6">
        <f>IFERROR(C6-L6,"")</f>
        <v/>
      </c>
      <c r="N6">
        <f>IFERROR(IF(C6=0,0,(C6-L6)/C6*100),"")</f>
        <v/>
      </c>
      <c r="O6">
        <f>IFERROR(L6/(1-(I6/100)),"")</f>
        <v/>
      </c>
      <c r="P6">
        <f>IFERROR((L6/(1-(I6/100)))+J6,"")</f>
        <v/>
      </c>
      <c r="Q6">
        <f>IFERROR(IF(N6&gt;=I6,"ACCEPT - margin clears target",IF(N6&gt;=(I6*0.7),CONCATENATE("CAUTION - raise quote to $",ROUND(P6,0)),CONCATENATE("DECLINE or requote to $",ROUND(P6,0)))),"")</f>
        <v/>
      </c>
    </row>
    <row r="7">
      <c r="A7" t="inlineStr">
        <is>
          <t>Ductwork Retrofit</t>
        </is>
      </c>
      <c r="B7" t="inlineStr">
        <is>
          <t>Retrofit</t>
        </is>
      </c>
      <c r="C7" t="n">
        <v>2100</v>
      </c>
      <c r="D7" t="n">
        <v>900</v>
      </c>
      <c r="E7" t="n">
        <v>16</v>
      </c>
      <c r="F7" t="n">
        <v>65</v>
      </c>
      <c r="G7" t="n">
        <v>22</v>
      </c>
      <c r="H7" t="n">
        <v>250</v>
      </c>
      <c r="I7" t="n">
        <v>25</v>
      </c>
      <c r="J7">
        <f>IFERROR(IF(G7&gt;50,75,0),"")</f>
        <v/>
      </c>
      <c r="K7">
        <f>IFERROR(E7*F7,"")</f>
        <v/>
      </c>
      <c r="L7">
        <f>IFERROR(D7+K7+H7-J7,"")</f>
        <v/>
      </c>
      <c r="M7">
        <f>IFERROR(C7-L7,"")</f>
        <v/>
      </c>
      <c r="N7">
        <f>IFERROR(IF(C7=0,0,(C7-L7)/C7*100),"")</f>
        <v/>
      </c>
      <c r="O7">
        <f>IFERROR(L7/(1-(I7/100)),"")</f>
        <v/>
      </c>
      <c r="P7">
        <f>IFERROR((L7/(1-(I7/100)))+J7,"")</f>
        <v/>
      </c>
      <c r="Q7">
        <f>IFERROR(IF(N7&gt;=I7,"ACCEPT - margin clears target",IF(N7&gt;=(I7*0.7),CONCATENATE("CAUTION - raise quote to $",ROUND(P7,0)),CONCATENATE("DECLINE or requote to $",ROUND(P7,0)))),"")</f>
        <v/>
      </c>
    </row>
    <row r="8">
      <c r="A8" t="inlineStr">
        <is>
          <t>Furnace Install</t>
        </is>
      </c>
      <c r="B8" t="inlineStr">
        <is>
          <t>Install</t>
        </is>
      </c>
      <c r="C8" t="n">
        <v>4600</v>
      </c>
      <c r="D8" t="n">
        <v>1800</v>
      </c>
      <c r="E8" t="n">
        <v>20</v>
      </c>
      <c r="F8" t="n">
        <v>65</v>
      </c>
      <c r="G8" t="n">
        <v>8</v>
      </c>
      <c r="H8" t="n">
        <v>300</v>
      </c>
      <c r="I8" t="n">
        <v>25</v>
      </c>
      <c r="J8">
        <f>IFERROR(IF(G8&gt;50,75,0),"")</f>
        <v/>
      </c>
      <c r="K8">
        <f>IFERROR(E8*F8,"")</f>
        <v/>
      </c>
      <c r="L8">
        <f>IFERROR(D8+K8+H8-J8,"")</f>
        <v/>
      </c>
      <c r="M8">
        <f>IFERROR(C8-L8,"")</f>
        <v/>
      </c>
      <c r="N8">
        <f>IFERROR(IF(C8=0,0,(C8-L8)/C8*100),"")</f>
        <v/>
      </c>
      <c r="O8">
        <f>IFERROR(L8/(1-(I8/100)),"")</f>
        <v/>
      </c>
      <c r="P8">
        <f>IFERROR((L8/(1-(I8/100)))+J8,"")</f>
        <v/>
      </c>
      <c r="Q8">
        <f>IFERROR(IF(N8&gt;=I8,"ACCEPT - margin clears target",IF(N8&gt;=(I8*0.7),CONCATENATE("CAUTION - raise quote to $",ROUND(P8,0)),CONCATENATE("DECLINE or requote to $",ROUND(P8,0)))),"")</f>
        <v/>
      </c>
    </row>
    <row r="9">
      <c r="A9" t="inlineStr">
        <is>
          <t>Long-Haul Service Call</t>
        </is>
      </c>
      <c r="B9" t="inlineStr">
        <is>
          <t>Service</t>
        </is>
      </c>
      <c r="C9" t="n">
        <v>480</v>
      </c>
      <c r="D9" t="n">
        <v>120</v>
      </c>
      <c r="E9" t="n">
        <v>3</v>
      </c>
      <c r="F9" t="n">
        <v>65</v>
      </c>
      <c r="G9" t="n">
        <v>62</v>
      </c>
      <c r="H9" t="n">
        <v>150</v>
      </c>
      <c r="I9" t="n">
        <v>25</v>
      </c>
      <c r="J9">
        <f>IFERROR(IF(G9&gt;50,75,0),"")</f>
        <v/>
      </c>
      <c r="K9">
        <f>IFERROR(E9*F9,"")</f>
        <v/>
      </c>
      <c r="L9">
        <f>IFERROR(D9+K9+H9-J9,"")</f>
        <v/>
      </c>
      <c r="M9">
        <f>IFERROR(C9-L9,"")</f>
        <v/>
      </c>
      <c r="N9">
        <f>IFERROR(IF(C9=0,0,(C9-L9)/C9*100),"")</f>
        <v/>
      </c>
      <c r="O9">
        <f>IFERROR(L9/(1-(I9/100)),"")</f>
        <v/>
      </c>
      <c r="P9">
        <f>IFERROR((L9/(1-(I9/100)))+J9,"")</f>
        <v/>
      </c>
      <c r="Q9">
        <f>IFERROR(IF(N9&gt;=I9,"ACCEPT - margin clears target",IF(N9&gt;=(I9*0.7),CONCATENATE("CAUTION - raise quote to $",ROUND(P9,0)),CONCATENATE("DECLINE or requote to $",ROUND(P9,0)))),"")</f>
        <v/>
      </c>
    </row>
    <row r="10">
      <c r="A10" t="inlineStr">
        <is>
          <t>Mini-Split Add</t>
        </is>
      </c>
      <c r="B10" t="inlineStr">
        <is>
          <t>Install</t>
        </is>
      </c>
      <c r="C10" t="n">
        <v>3200</v>
      </c>
      <c r="D10" t="n">
        <v>1500</v>
      </c>
      <c r="E10" t="n">
        <v>14</v>
      </c>
      <c r="F10" t="n">
        <v>65</v>
      </c>
      <c r="G10" t="n">
        <v>9</v>
      </c>
      <c r="H10" t="n">
        <v>250</v>
      </c>
      <c r="I10" t="n">
        <v>25</v>
      </c>
      <c r="J10">
        <f>IFERROR(IF(G10&gt;50,75,0),"")</f>
        <v/>
      </c>
      <c r="K10">
        <f>IFERROR(E10*F10,"")</f>
        <v/>
      </c>
      <c r="L10">
        <f>IFERROR(D10+K10+H10-J10,"")</f>
        <v/>
      </c>
      <c r="M10">
        <f>IFERROR(C10-L10,"")</f>
        <v/>
      </c>
      <c r="N10">
        <f>IFERROR(IF(C10=0,0,(C10-L10)/C10*100),"")</f>
        <v/>
      </c>
      <c r="O10">
        <f>IFERROR(L10/(1-(I10/100)),"")</f>
        <v/>
      </c>
      <c r="P10">
        <f>IFERROR((L10/(1-(I10/100)))+J10,"")</f>
        <v/>
      </c>
      <c r="Q10">
        <f>IFERROR(IF(N10&gt;=I10,"ACCEPT - margin clears target",IF(N10&gt;=(I10*0.7),CONCATENATE("CAUTION - raise quote to $",ROUND(P10,0)),CONCATENATE("DECLINE or requote to $",ROUND(P10,0)))),"")</f>
        <v/>
      </c>
    </row>
    <row r="11">
      <c r="J11">
        <f>IFERROR(IF(G11&gt;50,75,0),"")</f>
        <v/>
      </c>
      <c r="K11">
        <f>IFERROR(E11*F11,"")</f>
        <v/>
      </c>
      <c r="L11">
        <f>IFERROR(D11+K11+H11-J11,"")</f>
        <v/>
      </c>
      <c r="M11">
        <f>IFERROR(C11-L11,"")</f>
        <v/>
      </c>
      <c r="N11">
        <f>IFERROR(IF(C11=0,0,(C11-L11)/C11*100),"")</f>
        <v/>
      </c>
      <c r="O11">
        <f>IFERROR(L11/(1-(I11/100)),"")</f>
        <v/>
      </c>
      <c r="P11">
        <f>IFERROR((L11/(1-(I11/100)))+J11,"")</f>
        <v/>
      </c>
      <c r="Q11">
        <f>IFERROR(IF(N11&gt;=I11,"ACCEPT - margin clears target",IF(N11&gt;=(I11*0.7),CONCATENATE("CAUTION - raise quote to $",ROUND(P11,0)),CONCATENATE("DECLINE or requote to $",ROUND(P11,0)))),"")</f>
        <v/>
      </c>
    </row>
    <row r="12">
      <c r="J12">
        <f>IFERROR(IF(G12&gt;50,75,0),"")</f>
        <v/>
      </c>
      <c r="K12">
        <f>IFERROR(E12*F12,"")</f>
        <v/>
      </c>
      <c r="L12">
        <f>IFERROR(D12+K12+H12-J12,"")</f>
        <v/>
      </c>
      <c r="M12">
        <f>IFERROR(C12-L12,"")</f>
        <v/>
      </c>
      <c r="N12">
        <f>IFERROR(IF(C12=0,0,(C12-L12)/C12*100),"")</f>
        <v/>
      </c>
      <c r="O12">
        <f>IFERROR(L12/(1-(I12/100)),"")</f>
        <v/>
      </c>
      <c r="P12">
        <f>IFERROR((L12/(1-(I12/100)))+J12,"")</f>
        <v/>
      </c>
      <c r="Q12">
        <f>IFERROR(IF(N12&gt;=I12,"ACCEPT - margin clears target",IF(N12&gt;=(I12*0.7),CONCATENATE("CAUTION - raise quote to $",ROUND(P12,0)),CONCATENATE("DECLINE or requote to $",ROUND(P12,0)))),"")</f>
        <v/>
      </c>
    </row>
    <row r="13">
      <c r="J13">
        <f>IFERROR(IF(G13&gt;50,75,0),"")</f>
        <v/>
      </c>
      <c r="K13">
        <f>IFERROR(E13*F13,"")</f>
        <v/>
      </c>
      <c r="L13">
        <f>IFERROR(D13+K13+H13-J13,"")</f>
        <v/>
      </c>
      <c r="M13">
        <f>IFERROR(C13-L13,"")</f>
        <v/>
      </c>
      <c r="N13">
        <f>IFERROR(IF(C13=0,0,(C13-L13)/C13*100),"")</f>
        <v/>
      </c>
      <c r="O13">
        <f>IFERROR(L13/(1-(I13/100)),"")</f>
        <v/>
      </c>
      <c r="P13">
        <f>IFERROR((L13/(1-(I13/100)))+J13,"")</f>
        <v/>
      </c>
      <c r="Q13">
        <f>IFERROR(IF(N13&gt;=I13,"ACCEPT - margin clears target",IF(N13&gt;=(I13*0.7),CONCATENATE("CAUTION - raise quote to $",ROUND(P13,0)),CONCATENATE("DECLINE or requote to $",ROUND(P13,0)))),"")</f>
        <v/>
      </c>
    </row>
    <row r="14">
      <c r="J14">
        <f>IFERROR(IF(G14&gt;50,75,0),"")</f>
        <v/>
      </c>
      <c r="K14">
        <f>IFERROR(E14*F14,"")</f>
        <v/>
      </c>
      <c r="L14">
        <f>IFERROR(D14+K14+H14-J14,"")</f>
        <v/>
      </c>
      <c r="M14">
        <f>IFERROR(C14-L14,"")</f>
        <v/>
      </c>
      <c r="N14">
        <f>IFERROR(IF(C14=0,0,(C14-L14)/C14*100),"")</f>
        <v/>
      </c>
      <c r="O14">
        <f>IFERROR(L14/(1-(I14/100)),"")</f>
        <v/>
      </c>
      <c r="P14">
        <f>IFERROR((L14/(1-(I14/100)))+J14,"")</f>
        <v/>
      </c>
      <c r="Q14">
        <f>IFERROR(IF(N14&gt;=I14,"ACCEPT - margin clears target",IF(N14&gt;=(I14*0.7),CONCATENATE("CAUTION - raise quote to $",ROUND(P14,0)),CONCATENATE("DECLINE or requote to $",ROUND(P14,0)))),"")</f>
        <v/>
      </c>
    </row>
    <row r="15">
      <c r="J15">
        <f>IFERROR(IF(G15&gt;50,75,0),"")</f>
        <v/>
      </c>
      <c r="K15">
        <f>IFERROR(E15*F15,"")</f>
        <v/>
      </c>
      <c r="L15">
        <f>IFERROR(D15+K15+H15-J15,"")</f>
        <v/>
      </c>
      <c r="M15">
        <f>IFERROR(C15-L15,"")</f>
        <v/>
      </c>
      <c r="N15">
        <f>IFERROR(IF(C15=0,0,(C15-L15)/C15*100),"")</f>
        <v/>
      </c>
      <c r="O15">
        <f>IFERROR(L15/(1-(I15/100)),"")</f>
        <v/>
      </c>
      <c r="P15">
        <f>IFERROR((L15/(1-(I15/100)))+J15,"")</f>
        <v/>
      </c>
      <c r="Q15">
        <f>IFERROR(IF(N15&gt;=I15,"ACCEPT - margin clears target",IF(N15&gt;=(I15*0.7),CONCATENATE("CAUTION - raise quote to $",ROUND(P15,0)),CONCATENATE("DECLINE or requote to $",ROUND(P15,0)))),"")</f>
        <v/>
      </c>
    </row>
    <row r="16">
      <c r="J16">
        <f>IFERROR(IF(G16&gt;50,75,0),"")</f>
        <v/>
      </c>
      <c r="K16">
        <f>IFERROR(E16*F16,"")</f>
        <v/>
      </c>
      <c r="L16">
        <f>IFERROR(D16+K16+H16-J16,"")</f>
        <v/>
      </c>
      <c r="M16">
        <f>IFERROR(C16-L16,"")</f>
        <v/>
      </c>
      <c r="N16">
        <f>IFERROR(IF(C16=0,0,(C16-L16)/C16*100),"")</f>
        <v/>
      </c>
      <c r="O16">
        <f>IFERROR(L16/(1-(I16/100)),"")</f>
        <v/>
      </c>
      <c r="P16">
        <f>IFERROR((L16/(1-(I16/100)))+J16,"")</f>
        <v/>
      </c>
      <c r="Q16">
        <f>IFERROR(IF(N16&gt;=I16,"ACCEPT - margin clears target",IF(N16&gt;=(I16*0.7),CONCATENATE("CAUTION - raise quote to $",ROUND(P16,0)),CONCATENATE("DECLINE or requote to $",ROUND(P16,0)))),"")</f>
        <v/>
      </c>
    </row>
    <row r="17">
      <c r="J17">
        <f>IFERROR(IF(G17&gt;50,75,0),"")</f>
        <v/>
      </c>
      <c r="K17">
        <f>IFERROR(E17*F17,"")</f>
        <v/>
      </c>
      <c r="L17">
        <f>IFERROR(D17+K17+H17-J17,"")</f>
        <v/>
      </c>
      <c r="M17">
        <f>IFERROR(C17-L17,"")</f>
        <v/>
      </c>
      <c r="N17">
        <f>IFERROR(IF(C17=0,0,(C17-L17)/C17*100),"")</f>
        <v/>
      </c>
      <c r="O17">
        <f>IFERROR(L17/(1-(I17/100)),"")</f>
        <v/>
      </c>
      <c r="P17">
        <f>IFERROR((L17/(1-(I17/100)))+J17,"")</f>
        <v/>
      </c>
      <c r="Q17">
        <f>IFERROR(IF(N17&gt;=I17,"ACCEPT - margin clears target",IF(N17&gt;=(I17*0.7),CONCATENATE("CAUTION - raise quote to $",ROUND(P17,0)),CONCATENATE("DECLINE or requote to $",ROUND(P17,0)))),"")</f>
        <v/>
      </c>
    </row>
    <row r="18">
      <c r="J18">
        <f>IFERROR(IF(G18&gt;50,75,0),"")</f>
        <v/>
      </c>
      <c r="K18">
        <f>IFERROR(E18*F18,"")</f>
        <v/>
      </c>
      <c r="L18">
        <f>IFERROR(D18+K18+H18-J18,"")</f>
        <v/>
      </c>
      <c r="M18">
        <f>IFERROR(C18-L18,"")</f>
        <v/>
      </c>
      <c r="N18">
        <f>IFERROR(IF(C18=0,0,(C18-L18)/C18*100),"")</f>
        <v/>
      </c>
      <c r="O18">
        <f>IFERROR(L18/(1-(I18/100)),"")</f>
        <v/>
      </c>
      <c r="P18">
        <f>IFERROR((L18/(1-(I18/100)))+J18,"")</f>
        <v/>
      </c>
      <c r="Q18">
        <f>IFERROR(IF(N18&gt;=I18,"ACCEPT - margin clears target",IF(N18&gt;=(I18*0.7),CONCATENATE("CAUTION - raise quote to $",ROUND(P18,0)),CONCATENATE("DECLINE or requote to $",ROUND(P18,0)))),"")</f>
        <v/>
      </c>
    </row>
    <row r="19">
      <c r="J19">
        <f>IFERROR(IF(G19&gt;50,75,0),"")</f>
        <v/>
      </c>
      <c r="K19">
        <f>IFERROR(E19*F19,"")</f>
        <v/>
      </c>
      <c r="L19">
        <f>IFERROR(D19+K19+H19-J19,"")</f>
        <v/>
      </c>
      <c r="M19">
        <f>IFERROR(C19-L19,"")</f>
        <v/>
      </c>
      <c r="N19">
        <f>IFERROR(IF(C19=0,0,(C19-L19)/C19*100),"")</f>
        <v/>
      </c>
      <c r="O19">
        <f>IFERROR(L19/(1-(I19/100)),"")</f>
        <v/>
      </c>
      <c r="P19">
        <f>IFERROR((L19/(1-(I19/100)))+J19,"")</f>
        <v/>
      </c>
      <c r="Q19">
        <f>IFERROR(IF(N19&gt;=I19,"ACCEPT - margin clears target",IF(N19&gt;=(I19*0.7),CONCATENATE("CAUTION - raise quote to $",ROUND(P19,0)),CONCATENATE("DECLINE or requote to $",ROUND(P19,0)))),"")</f>
        <v/>
      </c>
    </row>
    <row r="20">
      <c r="J20">
        <f>IFERROR(IF(G20&gt;50,75,0),"")</f>
        <v/>
      </c>
      <c r="K20">
        <f>IFERROR(E20*F20,"")</f>
        <v/>
      </c>
      <c r="L20">
        <f>IFERROR(D20+K20+H20-J20,"")</f>
        <v/>
      </c>
      <c r="M20">
        <f>IFERROR(C20-L20,"")</f>
        <v/>
      </c>
      <c r="N20">
        <f>IFERROR(IF(C20=0,0,(C20-L20)/C20*100),"")</f>
        <v/>
      </c>
      <c r="O20">
        <f>IFERROR(L20/(1-(I20/100)),"")</f>
        <v/>
      </c>
      <c r="P20">
        <f>IFERROR((L20/(1-(I20/100)))+J20,"")</f>
        <v/>
      </c>
      <c r="Q20">
        <f>IFERROR(IF(N20&gt;=I20,"ACCEPT - margin clears target",IF(N20&gt;=(I20*0.7),CONCATENATE("CAUTION - raise quote to $",ROUND(P20,0)),CONCATENATE("DECLINE or requote to $",ROUND(P20,0)))),"")</f>
        <v/>
      </c>
    </row>
    <row r="21">
      <c r="J21">
        <f>IFERROR(IF(G21&gt;50,75,0),"")</f>
        <v/>
      </c>
      <c r="K21">
        <f>IFERROR(E21*F21,"")</f>
        <v/>
      </c>
      <c r="L21">
        <f>IFERROR(D21+K21+H21-J21,"")</f>
        <v/>
      </c>
      <c r="M21">
        <f>IFERROR(C21-L21,"")</f>
        <v/>
      </c>
      <c r="N21">
        <f>IFERROR(IF(C21=0,0,(C21-L21)/C21*100),"")</f>
        <v/>
      </c>
      <c r="O21">
        <f>IFERROR(L21/(1-(I21/100)),"")</f>
        <v/>
      </c>
      <c r="P21">
        <f>IFERROR((L21/(1-(I21/100)))+J21,"")</f>
        <v/>
      </c>
      <c r="Q21">
        <f>IFERROR(IF(N21&gt;=I21,"ACCEPT - margin clears target",IF(N21&gt;=(I21*0.7),CONCATENATE("CAUTION - raise quote to $",ROUND(P21,0)),CONCATENATE("DECLINE or requote to $",ROUND(P21,0)))),"")</f>
        <v/>
      </c>
    </row>
    <row r="22">
      <c r="J22">
        <f>IFERROR(IF(G22&gt;50,75,0),"")</f>
        <v/>
      </c>
      <c r="K22">
        <f>IFERROR(E22*F22,"")</f>
        <v/>
      </c>
      <c r="L22">
        <f>IFERROR(D22+K22+H22-J22,"")</f>
        <v/>
      </c>
      <c r="M22">
        <f>IFERROR(C22-L22,"")</f>
        <v/>
      </c>
      <c r="N22">
        <f>IFERROR(IF(C22=0,0,(C22-L22)/C22*100),"")</f>
        <v/>
      </c>
      <c r="O22">
        <f>IFERROR(L22/(1-(I22/100)),"")</f>
        <v/>
      </c>
      <c r="P22">
        <f>IFERROR((L22/(1-(I22/100)))+J22,"")</f>
        <v/>
      </c>
      <c r="Q22">
        <f>IFERROR(IF(N22&gt;=I22,"ACCEPT - margin clears target",IF(N22&gt;=(I22*0.7),CONCATENATE("CAUTION - raise quote to $",ROUND(P22,0)),CONCATENATE("DECLINE or requote to $",ROUND(P22,0)))),"")</f>
        <v/>
      </c>
    </row>
    <row r="23">
      <c r="J23">
        <f>IFERROR(IF(G23&gt;50,75,0),"")</f>
        <v/>
      </c>
      <c r="K23">
        <f>IFERROR(E23*F23,"")</f>
        <v/>
      </c>
      <c r="L23">
        <f>IFERROR(D23+K23+H23-J23,"")</f>
        <v/>
      </c>
      <c r="M23">
        <f>IFERROR(C23-L23,"")</f>
        <v/>
      </c>
      <c r="N23">
        <f>IFERROR(IF(C23=0,0,(C23-L23)/C23*100),"")</f>
        <v/>
      </c>
      <c r="O23">
        <f>IFERROR(L23/(1-(I23/100)),"")</f>
        <v/>
      </c>
      <c r="P23">
        <f>IFERROR((L23/(1-(I23/100)))+J23,"")</f>
        <v/>
      </c>
      <c r="Q23">
        <f>IFERROR(IF(N23&gt;=I23,"ACCEPT - margin clears target",IF(N23&gt;=(I23*0.7),CONCATENATE("CAUTION - raise quote to $",ROUND(P23,0)),CONCATENATE("DECLINE or requote to $",ROUND(P23,0)))),"")</f>
        <v/>
      </c>
    </row>
    <row r="24">
      <c r="J24">
        <f>IFERROR(IF(G24&gt;50,75,0),"")</f>
        <v/>
      </c>
      <c r="K24">
        <f>IFERROR(E24*F24,"")</f>
        <v/>
      </c>
      <c r="L24">
        <f>IFERROR(D24+K24+H24-J24,"")</f>
        <v/>
      </c>
      <c r="M24">
        <f>IFERROR(C24-L24,"")</f>
        <v/>
      </c>
      <c r="N24">
        <f>IFERROR(IF(C24=0,0,(C24-L24)/C24*100),"")</f>
        <v/>
      </c>
      <c r="O24">
        <f>IFERROR(L24/(1-(I24/100)),"")</f>
        <v/>
      </c>
      <c r="P24">
        <f>IFERROR((L24/(1-(I24/100)))+J24,"")</f>
        <v/>
      </c>
      <c r="Q24">
        <f>IFERROR(IF(N24&gt;=I24,"ACCEPT - margin clears target",IF(N24&gt;=(I24*0.7),CONCATENATE("CAUTION - raise quote to $",ROUND(P24,0)),CONCATENATE("DECLINE or requote to $",ROUND(P24,0)))),"")</f>
        <v/>
      </c>
    </row>
    <row r="25">
      <c r="J25">
        <f>IFERROR(IF(G25&gt;50,75,0),"")</f>
        <v/>
      </c>
      <c r="K25">
        <f>IFERROR(E25*F25,"")</f>
        <v/>
      </c>
      <c r="L25">
        <f>IFERROR(D25+K25+H25-J25,"")</f>
        <v/>
      </c>
      <c r="M25">
        <f>IFERROR(C25-L25,"")</f>
        <v/>
      </c>
      <c r="N25">
        <f>IFERROR(IF(C25=0,0,(C25-L25)/C25*100),"")</f>
        <v/>
      </c>
      <c r="O25">
        <f>IFERROR(L25/(1-(I25/100)),"")</f>
        <v/>
      </c>
      <c r="P25">
        <f>IFERROR((L25/(1-(I25/100)))+J25,"")</f>
        <v/>
      </c>
      <c r="Q25">
        <f>IFERROR(IF(N25&gt;=I25,"ACCEPT - margin clears target",IF(N25&gt;=(I25*0.7),CONCATENATE("CAUTION - raise quote to $",ROUND(P25,0)),CONCATENATE("DECLINE or requote to $",ROUND(P25,0)))),"")</f>
        <v/>
      </c>
    </row>
  </sheetData>
  <mergeCells count="1">
    <mergeCell ref="A1:Q3"/>
  </mergeCells>
  <conditionalFormatting sqref="N6:N25">
    <cfRule type="cellIs" priority="1" operator="lessThan" dxfId="0">
      <formula>15</formula>
    </cfRule>
    <cfRule type="cellIs" priority="2" operator="lessThan" dxfId="1">
      <formula>25</formula>
    </cfRule>
    <cfRule type="cellIs" priority="3" operator="greaterThan" dxfId="2">
      <formula>25</formula>
    </cfRule>
  </conditionalFormatting>
  <conditionalFormatting sqref="M6:M25">
    <cfRule type="cellIs" priority="4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0" customWidth="1" min="5" max="5"/>
    <col width="19" customWidth="1" min="6" max="6"/>
    <col width="21" customWidth="1" min="7" max="7"/>
    <col width="16" customWidth="1" min="8" max="8"/>
    <col width="17" customWidth="1" min="9" max="9"/>
    <col width="17" customWidth="1" min="10" max="10"/>
    <col width="16" customWidth="1" min="11" max="11"/>
    <col width="16" customWidth="1" min="12" max="12"/>
  </cols>
  <sheetData>
    <row r="1">
      <c r="A1" s="1" t="inlineStr">
        <is>
          <t>AI INSIGHT SUMMARY:
Job #4 (Rooftop AC Replacement) returns $94/hour in profit -- 38% higher than your shop average of $68/hour -- so prioritize quoting similar full-system replacements. Two pending bids are flagged RED: the Ductwork Retrofit quote of $2,100 yields only a 9% margin against your 25% breakeven threshold; raise it to $2,640 or decline. Jobs over 50 miles of drive distance have averaged 11% lower margin this year, so the system has added a recommended $75 travel surcharge to the two long-haul bids. Service-call jobs under 4 labor hours are consistently your lowest profit-per-hour work -- batch or minimum-charge these rather than chasing them individually.</t>
        </is>
      </c>
    </row>
    <row r="2"/>
    <row r="3"/>
    <row r="4"/>
    <row r="5">
      <c r="A5" s="2" t="inlineStr">
        <is>
          <t>Job Name</t>
        </is>
      </c>
      <c r="B5" s="2" t="inlineStr">
        <is>
          <t>Job Type</t>
        </is>
      </c>
      <c r="C5" s="2" t="inlineStr">
        <is>
          <t>Final Revenue</t>
        </is>
      </c>
      <c r="D5" s="2" t="inlineStr">
        <is>
          <t>Actual Materials Cost</t>
        </is>
      </c>
      <c r="E5" s="2" t="inlineStr">
        <is>
          <t>Actual Labor Hours</t>
        </is>
      </c>
      <c r="F5" s="2" t="inlineStr">
        <is>
          <t>Actual Labor Cost</t>
        </is>
      </c>
      <c r="G5" s="2" t="inlineStr">
        <is>
          <t>Drive Distance (mi)</t>
        </is>
      </c>
      <c r="H5" s="2" t="inlineStr">
        <is>
          <t>Actual Profit</t>
        </is>
      </c>
      <c r="I5" s="2" t="inlineStr">
        <is>
          <t>Actual Margin %</t>
        </is>
      </c>
      <c r="J5" s="2" t="inlineStr">
        <is>
          <t>Profit Per Hour</t>
        </is>
      </c>
      <c r="K5" s="2" t="inlineStr">
        <is>
          <t>Long Haul Flag</t>
        </is>
      </c>
      <c r="L5" s="2" t="inlineStr">
        <is>
          <t>Job Grade</t>
        </is>
      </c>
    </row>
    <row r="6">
      <c r="A6" t="inlineStr">
        <is>
          <t>Smith Rooftop AC</t>
        </is>
      </c>
      <c r="B6" t="inlineStr">
        <is>
          <t>Full System</t>
        </is>
      </c>
      <c r="C6" t="n">
        <v>8200</v>
      </c>
      <c r="D6" t="n">
        <v>3300</v>
      </c>
      <c r="E6" t="n">
        <v>30</v>
      </c>
      <c r="F6" t="n">
        <v>1950</v>
      </c>
      <c r="G6" t="n">
        <v>14</v>
      </c>
      <c r="H6">
        <f>IFERROR(C6-D6-F6,"")</f>
        <v/>
      </c>
      <c r="I6">
        <f>IFERROR(IF(C6=0,0,(C6-D6-F6)/C6*100),"")</f>
        <v/>
      </c>
      <c r="J6">
        <f>IFERROR(IF(E6=0,0,H6/E6),"")</f>
        <v/>
      </c>
      <c r="K6">
        <f>IFERROR(IF(G6&gt;50,"LONG HAUL - add surcharge","local"),"")</f>
        <v/>
      </c>
      <c r="L6">
        <f>IFERROR(IF(J6&gt;=85,CONCATENATE("A - chase more ",B6),IF(J6&gt;=60,"B - acceptable",IF(J6&gt;=35,"C - low yield","D - avoid this work"))),"")</f>
        <v/>
      </c>
    </row>
    <row r="7">
      <c r="A7" t="inlineStr">
        <is>
          <t>Jones Furnace Install</t>
        </is>
      </c>
      <c r="B7" t="inlineStr">
        <is>
          <t>Install</t>
        </is>
      </c>
      <c r="C7" t="n">
        <v>4600</v>
      </c>
      <c r="D7" t="n">
        <v>1850</v>
      </c>
      <c r="E7" t="n">
        <v>21</v>
      </c>
      <c r="F7" t="n">
        <v>1365</v>
      </c>
      <c r="G7" t="n">
        <v>8</v>
      </c>
      <c r="H7">
        <f>IFERROR(C7-D7-F7,"")</f>
        <v/>
      </c>
      <c r="I7">
        <f>IFERROR(IF(C7=0,0,(C7-D7-F7)/C7*100),"")</f>
        <v/>
      </c>
      <c r="J7">
        <f>IFERROR(IF(E7=0,0,H7/E7),"")</f>
        <v/>
      </c>
      <c r="K7">
        <f>IFERROR(IF(G7&gt;50,"LONG HAUL - add surcharge","local"),"")</f>
        <v/>
      </c>
      <c r="L7">
        <f>IFERROR(IF(J7&gt;=85,CONCATENATE("A - chase more ",B7),IF(J7&gt;=60,"B - acceptable",IF(J7&gt;=35,"C - low yield","D - avoid this work"))),"")</f>
        <v/>
      </c>
    </row>
    <row r="8">
      <c r="A8" t="inlineStr">
        <is>
          <t>Lake House Ductwork</t>
        </is>
      </c>
      <c r="B8" t="inlineStr">
        <is>
          <t>Retrofit</t>
        </is>
      </c>
      <c r="C8" t="n">
        <v>3100</v>
      </c>
      <c r="D8" t="n">
        <v>1400</v>
      </c>
      <c r="E8" t="n">
        <v>24</v>
      </c>
      <c r="F8" t="n">
        <v>1560</v>
      </c>
      <c r="G8" t="n">
        <v>58</v>
      </c>
      <c r="H8">
        <f>IFERROR(C8-D8-F8,"")</f>
        <v/>
      </c>
      <c r="I8">
        <f>IFERROR(IF(C8=0,0,(C8-D8-F8)/C8*100),"")</f>
        <v/>
      </c>
      <c r="J8">
        <f>IFERROR(IF(E8=0,0,H8/E8),"")</f>
        <v/>
      </c>
      <c r="K8">
        <f>IFERROR(IF(G8&gt;50,"LONG HAUL - add surcharge","local"),"")</f>
        <v/>
      </c>
      <c r="L8">
        <f>IFERROR(IF(J8&gt;=85,CONCATENATE("A - chase more ",B8),IF(J8&gt;=60,"B - acceptable",IF(J8&gt;=35,"C - low yield","D - avoid this work"))),"")</f>
        <v/>
      </c>
    </row>
    <row r="9">
      <c r="A9" t="inlineStr">
        <is>
          <t>Downtown Service Call</t>
        </is>
      </c>
      <c r="B9" t="inlineStr">
        <is>
          <t>Service</t>
        </is>
      </c>
      <c r="C9" t="n">
        <v>480</v>
      </c>
      <c r="D9" t="n">
        <v>110</v>
      </c>
      <c r="E9" t="n">
        <v>3</v>
      </c>
      <c r="F9" t="n">
        <v>195</v>
      </c>
      <c r="G9" t="n">
        <v>12</v>
      </c>
      <c r="H9">
        <f>IFERROR(C9-D9-F9,"")</f>
        <v/>
      </c>
      <c r="I9">
        <f>IFERROR(IF(C9=0,0,(C9-D9-F9)/C9*100),"")</f>
        <v/>
      </c>
      <c r="J9">
        <f>IFERROR(IF(E9=0,0,H9/E9),"")</f>
        <v/>
      </c>
      <c r="K9">
        <f>IFERROR(IF(G9&gt;50,"LONG HAUL - add surcharge","local"),"")</f>
        <v/>
      </c>
      <c r="L9">
        <f>IFERROR(IF(J9&gt;=85,CONCATENATE("A - chase more ",B9),IF(J9&gt;=60,"B - acceptable",IF(J9&gt;=35,"C - low yield","D - avoid this work"))),"")</f>
        <v/>
      </c>
    </row>
    <row r="10">
      <c r="A10" t="inlineStr">
        <is>
          <t>Hill Mini-Split</t>
        </is>
      </c>
      <c r="B10" t="inlineStr">
        <is>
          <t>Install</t>
        </is>
      </c>
      <c r="C10" t="n">
        <v>3200</v>
      </c>
      <c r="D10" t="n">
        <v>1450</v>
      </c>
      <c r="E10" t="n">
        <v>13</v>
      </c>
      <c r="F10" t="n">
        <v>845</v>
      </c>
      <c r="G10" t="n">
        <v>9</v>
      </c>
      <c r="H10">
        <f>IFERROR(C10-D10-F10,"")</f>
        <v/>
      </c>
      <c r="I10">
        <f>IFERROR(IF(C10=0,0,(C10-D10-F10)/C10*100),"")</f>
        <v/>
      </c>
      <c r="J10">
        <f>IFERROR(IF(E10=0,0,H10/E10),"")</f>
        <v/>
      </c>
      <c r="K10">
        <f>IFERROR(IF(G10&gt;50,"LONG HAUL - add surcharge","local"),"")</f>
        <v/>
      </c>
      <c r="L10">
        <f>IFERROR(IF(J10&gt;=85,CONCATENATE("A - chase more ",B10),IF(J10&gt;=60,"B - acceptable",IF(J10&gt;=35,"C - low yield","D - avoid this work"))),"")</f>
        <v/>
      </c>
    </row>
    <row r="11">
      <c r="A11" t="inlineStr">
        <is>
          <t>Far Ranch Repair</t>
        </is>
      </c>
      <c r="B11" t="inlineStr">
        <is>
          <t>Service</t>
        </is>
      </c>
      <c r="C11" t="n">
        <v>920</v>
      </c>
      <c r="D11" t="n">
        <v>280</v>
      </c>
      <c r="E11" t="n">
        <v>6</v>
      </c>
      <c r="F11" t="n">
        <v>390</v>
      </c>
      <c r="G11" t="n">
        <v>64</v>
      </c>
      <c r="H11">
        <f>IFERROR(C11-D11-F11,"")</f>
        <v/>
      </c>
      <c r="I11">
        <f>IFERROR(IF(C11=0,0,(C11-D11-F11)/C11*100),"")</f>
        <v/>
      </c>
      <c r="J11">
        <f>IFERROR(IF(E11=0,0,H11/E11),"")</f>
        <v/>
      </c>
      <c r="K11">
        <f>IFERROR(IF(G11&gt;50,"LONG HAUL - add surcharge","local"),"")</f>
        <v/>
      </c>
      <c r="L11">
        <f>IFERROR(IF(J11&gt;=85,CONCATENATE("A - chase more ",B11),IF(J11&gt;=60,"B - acceptable",IF(J11&gt;=35,"C - low yield","D - avoid this work"))),"")</f>
        <v/>
      </c>
    </row>
    <row r="12">
      <c r="H12">
        <f>IFERROR(C12-D12-F12,"")</f>
        <v/>
      </c>
      <c r="I12">
        <f>IFERROR(IF(C12=0,0,(C12-D12-F12)/C12*100),"")</f>
        <v/>
      </c>
      <c r="J12">
        <f>IFERROR(IF(E12=0,0,H12/E12),"")</f>
        <v/>
      </c>
      <c r="K12">
        <f>IFERROR(IF(G12&gt;50,"LONG HAUL - add surcharge","local"),"")</f>
        <v/>
      </c>
      <c r="L12">
        <f>IFERROR(IF(J12&gt;=85,CONCATENATE("A - chase more ",B12),IF(J12&gt;=60,"B - acceptable",IF(J12&gt;=35,"C - low yield","D - avoid this work"))),"")</f>
        <v/>
      </c>
    </row>
    <row r="13">
      <c r="H13">
        <f>IFERROR(C13-D13-F13,"")</f>
        <v/>
      </c>
      <c r="I13">
        <f>IFERROR(IF(C13=0,0,(C13-D13-F13)/C13*100),"")</f>
        <v/>
      </c>
      <c r="J13">
        <f>IFERROR(IF(E13=0,0,H13/E13),"")</f>
        <v/>
      </c>
      <c r="K13">
        <f>IFERROR(IF(G13&gt;50,"LONG HAUL - add surcharge","local"),"")</f>
        <v/>
      </c>
      <c r="L13">
        <f>IFERROR(IF(J13&gt;=85,CONCATENATE("A - chase more ",B13),IF(J13&gt;=60,"B - acceptable",IF(J13&gt;=35,"C - low yield","D - avoid this work"))),"")</f>
        <v/>
      </c>
    </row>
    <row r="14">
      <c r="H14">
        <f>IFERROR(C14-D14-F14,"")</f>
        <v/>
      </c>
      <c r="I14">
        <f>IFERROR(IF(C14=0,0,(C14-D14-F14)/C14*100),"")</f>
        <v/>
      </c>
      <c r="J14">
        <f>IFERROR(IF(E14=0,0,H14/E14),"")</f>
        <v/>
      </c>
      <c r="K14">
        <f>IFERROR(IF(G14&gt;50,"LONG HAUL - add surcharge","local"),"")</f>
        <v/>
      </c>
      <c r="L14">
        <f>IFERROR(IF(J14&gt;=85,CONCATENATE("A - chase more ",B14),IF(J14&gt;=60,"B - acceptable",IF(J14&gt;=35,"C - low yield","D - avoid this work"))),"")</f>
        <v/>
      </c>
    </row>
    <row r="15">
      <c r="H15">
        <f>IFERROR(C15-D15-F15,"")</f>
        <v/>
      </c>
      <c r="I15">
        <f>IFERROR(IF(C15=0,0,(C15-D15-F15)/C15*100),"")</f>
        <v/>
      </c>
      <c r="J15">
        <f>IFERROR(IF(E15=0,0,H15/E15),"")</f>
        <v/>
      </c>
      <c r="K15">
        <f>IFERROR(IF(G15&gt;50,"LONG HAUL - add surcharge","local"),"")</f>
        <v/>
      </c>
      <c r="L15">
        <f>IFERROR(IF(J15&gt;=85,CONCATENATE("A - chase more ",B15),IF(J15&gt;=60,"B - acceptable",IF(J15&gt;=35,"C - low yield","D - avoid this work"))),"")</f>
        <v/>
      </c>
    </row>
    <row r="16">
      <c r="H16">
        <f>IFERROR(C16-D16-F16,"")</f>
        <v/>
      </c>
      <c r="I16">
        <f>IFERROR(IF(C16=0,0,(C16-D16-F16)/C16*100),"")</f>
        <v/>
      </c>
      <c r="J16">
        <f>IFERROR(IF(E16=0,0,H16/E16),"")</f>
        <v/>
      </c>
      <c r="K16">
        <f>IFERROR(IF(G16&gt;50,"LONG HAUL - add surcharge","local"),"")</f>
        <v/>
      </c>
      <c r="L16">
        <f>IFERROR(IF(J16&gt;=85,CONCATENATE("A - chase more ",B16),IF(J16&gt;=60,"B - acceptable",IF(J16&gt;=35,"C - low yield","D - avoid this work"))),"")</f>
        <v/>
      </c>
    </row>
    <row r="17">
      <c r="H17">
        <f>IFERROR(C17-D17-F17,"")</f>
        <v/>
      </c>
      <c r="I17">
        <f>IFERROR(IF(C17=0,0,(C17-D17-F17)/C17*100),"")</f>
        <v/>
      </c>
      <c r="J17">
        <f>IFERROR(IF(E17=0,0,H17/E17),"")</f>
        <v/>
      </c>
      <c r="K17">
        <f>IFERROR(IF(G17&gt;50,"LONG HAUL - add surcharge","local"),"")</f>
        <v/>
      </c>
      <c r="L17">
        <f>IFERROR(IF(J17&gt;=85,CONCATENATE("A - chase more ",B17),IF(J17&gt;=60,"B - acceptable",IF(J17&gt;=35,"C - low yield","D - avoid this work"))),"")</f>
        <v/>
      </c>
    </row>
    <row r="18">
      <c r="H18">
        <f>IFERROR(C18-D18-F18,"")</f>
        <v/>
      </c>
      <c r="I18">
        <f>IFERROR(IF(C18=0,0,(C18-D18-F18)/C18*100),"")</f>
        <v/>
      </c>
      <c r="J18">
        <f>IFERROR(IF(E18=0,0,H18/E18),"")</f>
        <v/>
      </c>
      <c r="K18">
        <f>IFERROR(IF(G18&gt;50,"LONG HAUL - add surcharge","local"),"")</f>
        <v/>
      </c>
      <c r="L18">
        <f>IFERROR(IF(J18&gt;=85,CONCATENATE("A - chase more ",B18),IF(J18&gt;=60,"B - acceptable",IF(J18&gt;=35,"C - low yield","D - avoid this work"))),"")</f>
        <v/>
      </c>
    </row>
    <row r="19">
      <c r="H19">
        <f>IFERROR(C19-D19-F19,"")</f>
        <v/>
      </c>
      <c r="I19">
        <f>IFERROR(IF(C19=0,0,(C19-D19-F19)/C19*100),"")</f>
        <v/>
      </c>
      <c r="J19">
        <f>IFERROR(IF(E19=0,0,H19/E19),"")</f>
        <v/>
      </c>
      <c r="K19">
        <f>IFERROR(IF(G19&gt;50,"LONG HAUL - add surcharge","local"),"")</f>
        <v/>
      </c>
      <c r="L19">
        <f>IFERROR(IF(J19&gt;=85,CONCATENATE("A - chase more ",B19),IF(J19&gt;=60,"B - acceptable",IF(J19&gt;=35,"C - low yield","D - avoid this work"))),"")</f>
        <v/>
      </c>
    </row>
    <row r="20">
      <c r="H20">
        <f>IFERROR(C20-D20-F20,"")</f>
        <v/>
      </c>
      <c r="I20">
        <f>IFERROR(IF(C20=0,0,(C20-D20-F20)/C20*100),"")</f>
        <v/>
      </c>
      <c r="J20">
        <f>IFERROR(IF(E20=0,0,H20/E20),"")</f>
        <v/>
      </c>
      <c r="K20">
        <f>IFERROR(IF(G20&gt;50,"LONG HAUL - add surcharge","local"),"")</f>
        <v/>
      </c>
      <c r="L20">
        <f>IFERROR(IF(J20&gt;=85,CONCATENATE("A - chase more ",B20),IF(J20&gt;=60,"B - acceptable",IF(J20&gt;=35,"C - low yield","D - avoid this work"))),"")</f>
        <v/>
      </c>
    </row>
    <row r="21">
      <c r="H21">
        <f>IFERROR(C21-D21-F21,"")</f>
        <v/>
      </c>
      <c r="I21">
        <f>IFERROR(IF(C21=0,0,(C21-D21-F21)/C21*100),"")</f>
        <v/>
      </c>
      <c r="J21">
        <f>IFERROR(IF(E21=0,0,H21/E21),"")</f>
        <v/>
      </c>
      <c r="K21">
        <f>IFERROR(IF(G21&gt;50,"LONG HAUL - add surcharge","local"),"")</f>
        <v/>
      </c>
      <c r="L21">
        <f>IFERROR(IF(J21&gt;=85,CONCATENATE("A - chase more ",B21),IF(J21&gt;=60,"B - acceptable",IF(J21&gt;=35,"C - low yield","D - avoid this work"))),"")</f>
        <v/>
      </c>
    </row>
    <row r="22">
      <c r="H22">
        <f>IFERROR(C22-D22-F22,"")</f>
        <v/>
      </c>
      <c r="I22">
        <f>IFERROR(IF(C22=0,0,(C22-D22-F22)/C22*100),"")</f>
        <v/>
      </c>
      <c r="J22">
        <f>IFERROR(IF(E22=0,0,H22/E22),"")</f>
        <v/>
      </c>
      <c r="K22">
        <f>IFERROR(IF(G22&gt;50,"LONG HAUL - add surcharge","local"),"")</f>
        <v/>
      </c>
      <c r="L22">
        <f>IFERROR(IF(J22&gt;=85,CONCATENATE("A - chase more ",B22),IF(J22&gt;=60,"B - acceptable",IF(J22&gt;=35,"C - low yield","D - avoid this work"))),"")</f>
        <v/>
      </c>
    </row>
    <row r="23">
      <c r="H23">
        <f>IFERROR(C23-D23-F23,"")</f>
        <v/>
      </c>
      <c r="I23">
        <f>IFERROR(IF(C23=0,0,(C23-D23-F23)/C23*100),"")</f>
        <v/>
      </c>
      <c r="J23">
        <f>IFERROR(IF(E23=0,0,H23/E23),"")</f>
        <v/>
      </c>
      <c r="K23">
        <f>IFERROR(IF(G23&gt;50,"LONG HAUL - add surcharge","local"),"")</f>
        <v/>
      </c>
      <c r="L23">
        <f>IFERROR(IF(J23&gt;=85,CONCATENATE("A - chase more ",B23),IF(J23&gt;=60,"B - acceptable",IF(J23&gt;=35,"C - low yield","D - avoid this work"))),"")</f>
        <v/>
      </c>
    </row>
    <row r="24">
      <c r="H24">
        <f>IFERROR(C24-D24-F24,"")</f>
        <v/>
      </c>
      <c r="I24">
        <f>IFERROR(IF(C24=0,0,(C24-D24-F24)/C24*100),"")</f>
        <v/>
      </c>
      <c r="J24">
        <f>IFERROR(IF(E24=0,0,H24/E24),"")</f>
        <v/>
      </c>
      <c r="K24">
        <f>IFERROR(IF(G24&gt;50,"LONG HAUL - add surcharge","local"),"")</f>
        <v/>
      </c>
      <c r="L24">
        <f>IFERROR(IF(J24&gt;=85,CONCATENATE("A - chase more ",B24),IF(J24&gt;=60,"B - acceptable",IF(J24&gt;=35,"C - low yield","D - avoid this work"))),"")</f>
        <v/>
      </c>
    </row>
    <row r="25">
      <c r="H25">
        <f>IFERROR(C25-D25-F25,"")</f>
        <v/>
      </c>
      <c r="I25">
        <f>IFERROR(IF(C25=0,0,(C25-D25-F25)/C25*100),"")</f>
        <v/>
      </c>
      <c r="J25">
        <f>IFERROR(IF(E25=0,0,H25/E25),"")</f>
        <v/>
      </c>
      <c r="K25">
        <f>IFERROR(IF(G25&gt;50,"LONG HAUL - add surcharge","local"),"")</f>
        <v/>
      </c>
      <c r="L25">
        <f>IFERROR(IF(J25&gt;=85,CONCATENATE("A - chase more ",B25),IF(J25&gt;=60,"B - acceptable",IF(J25&gt;=35,"C - low yield","D - avoid this work"))),"")</f>
        <v/>
      </c>
    </row>
    <row r="26">
      <c r="H26">
        <f>IFERROR(C26-D26-F26,"")</f>
        <v/>
      </c>
      <c r="I26">
        <f>IFERROR(IF(C26=0,0,(C26-D26-F26)/C26*100),"")</f>
        <v/>
      </c>
      <c r="J26">
        <f>IFERROR(IF(E26=0,0,H26/E26),"")</f>
        <v/>
      </c>
      <c r="K26">
        <f>IFERROR(IF(G26&gt;50,"LONG HAUL - add surcharge","local"),"")</f>
        <v/>
      </c>
      <c r="L26">
        <f>IFERROR(IF(J26&gt;=85,CONCATENATE("A - chase more ",B26),IF(J26&gt;=60,"B - acceptable",IF(J26&gt;=35,"C - low yield","D - avoid this work"))),"")</f>
        <v/>
      </c>
    </row>
  </sheetData>
  <mergeCells count="1">
    <mergeCell ref="A1:L3"/>
  </mergeCells>
  <conditionalFormatting sqref="J6:J26">
    <cfRule type="cellIs" priority="1" operator="greaterThan" dxfId="2">
      <formula>85</formula>
    </cfRule>
    <cfRule type="cellIs" priority="2" operator="lessThan" dxfId="0">
      <formula>35</formula>
    </cfRule>
  </conditionalFormatting>
  <conditionalFormatting sqref="I6:I26">
    <cfRule type="cellIs" priority="3" operator="lessThan" dxfId="0">
      <formula>15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9" customWidth="1" min="4" max="4"/>
    <col width="16" customWidth="1" min="5" max="5"/>
  </cols>
  <sheetData>
    <row r="1">
      <c r="A1" s="1" t="inlineStr">
        <is>
          <t>AI INSIGHT SUMMARY:
Job #4 (Rooftop AC Replacement) returns $94/hour in profit -- 38% higher than your shop average of $68/hour -- so prioritize quoting similar full-system replacements. Two pending bids are flagged RED: the Ductwork Retrofit quote of $2,100 yields only a 9% margin against your 25% breakeven threshold; raise it to $2,640 or decline. Jobs over 50 miles of drive distance have averaged 11% lower margin this year, so the system has added a recommended $75 travel surcharge to the two long-haul bids. Service-call jobs under 4 labor hours are consistently your lowest profit-per-hour work -- batch or minimum-charge these rather than chasing them individually.</t>
        </is>
      </c>
    </row>
    <row r="2"/>
    <row r="3"/>
    <row r="4"/>
    <row r="5">
      <c r="A5" s="2" t="inlineStr">
        <is>
          <t>Setting Name</t>
        </is>
      </c>
      <c r="B5" s="2" t="inlineStr">
        <is>
          <t>Value</t>
        </is>
      </c>
      <c r="C5" s="2" t="inlineStr">
        <is>
          <t>Shop Avg Profit Per Hour</t>
        </is>
      </c>
      <c r="D5" s="2" t="inlineStr">
        <is>
          <t>Variance From Avg</t>
        </is>
      </c>
      <c r="E5" s="2" t="inlineStr">
        <is>
          <t>Status</t>
        </is>
      </c>
    </row>
    <row r="6">
      <c r="A6" t="inlineStr">
        <is>
          <t>Default Labor Rate ($/hr)</t>
        </is>
      </c>
      <c r="B6" t="n">
        <v>65</v>
      </c>
      <c r="C6" t="n">
        <v>68</v>
      </c>
      <c r="D6">
        <f>IFERROR(B6-C6,"")</f>
        <v/>
      </c>
      <c r="E6">
        <f>IFERROR(IF(D6&gt;=0,"At or above shop average",CONCATENATE("Below average by $",ROUND(ABS(D6),0),"/hr")),"")</f>
        <v/>
      </c>
    </row>
    <row r="7">
      <c r="A7" t="inlineStr">
        <is>
          <t>Default Target Margin %</t>
        </is>
      </c>
      <c r="B7" t="n">
        <v>25</v>
      </c>
      <c r="C7" t="n">
        <v>68</v>
      </c>
      <c r="D7">
        <f>IFERROR(B7-C7,"")</f>
        <v/>
      </c>
      <c r="E7">
        <f>IFERROR(IF(D7&gt;=0,"At or above shop average",CONCATENATE("Below average by $",ROUND(ABS(D7),0),"/hr")),"")</f>
        <v/>
      </c>
    </row>
    <row r="8">
      <c r="A8" t="inlineStr">
        <is>
          <t>Long Haul Threshold (mi)</t>
        </is>
      </c>
      <c r="B8" t="n">
        <v>50</v>
      </c>
      <c r="C8" t="n">
        <v>68</v>
      </c>
      <c r="D8">
        <f>IFERROR(B8-C8,"")</f>
        <v/>
      </c>
      <c r="E8">
        <f>IFERROR(IF(D8&gt;=0,"At or above shop average",CONCATENATE("Below average by $",ROUND(ABS(D8),0),"/hr")),"")</f>
        <v/>
      </c>
    </row>
    <row r="9">
      <c r="A9" t="inlineStr">
        <is>
          <t>Travel Surcharge ($)</t>
        </is>
      </c>
      <c r="B9" t="n">
        <v>75</v>
      </c>
      <c r="C9" t="n">
        <v>68</v>
      </c>
      <c r="D9">
        <f>IFERROR(B9-C9,"")</f>
        <v/>
      </c>
      <c r="E9">
        <f>IFERROR(IF(D9&gt;=0,"At or above shop average",CONCATENATE("Below average by $",ROUND(ABS(D9),0),"/hr")),"")</f>
        <v/>
      </c>
    </row>
    <row r="10">
      <c r="A10" t="inlineStr">
        <is>
          <t>Default Overhead Per Job ($)</t>
        </is>
      </c>
      <c r="B10" t="n">
        <v>250</v>
      </c>
      <c r="C10" t="n">
        <v>68</v>
      </c>
      <c r="D10">
        <f>IFERROR(B10-C10,"")</f>
        <v/>
      </c>
      <c r="E10">
        <f>IFERROR(IF(D10&gt;=0,"At or above shop average",CONCATENATE("Below average by $",ROUND(ABS(D10),0),"/hr")),"")</f>
        <v/>
      </c>
    </row>
    <row r="11">
      <c r="D11">
        <f>IFERROR(B11-C11,"")</f>
        <v/>
      </c>
      <c r="E11">
        <f>IFERROR(IF(D11&gt;=0,"At or above shop average",CONCATENATE("Below average by $",ROUND(ABS(D11),0),"/hr")),"")</f>
        <v/>
      </c>
    </row>
    <row r="12">
      <c r="D12">
        <f>IFERROR(B12-C12,"")</f>
        <v/>
      </c>
      <c r="E12">
        <f>IFERROR(IF(D12&gt;=0,"At or above shop average",CONCATENATE("Below average by $",ROUND(ABS(D12),0),"/hr")),"")</f>
        <v/>
      </c>
    </row>
    <row r="13">
      <c r="D13">
        <f>IFERROR(B13-C13,"")</f>
        <v/>
      </c>
      <c r="E13">
        <f>IFERROR(IF(D13&gt;=0,"At or above shop average",CONCATENATE("Below average by $",ROUND(ABS(D13),0),"/hr")),"")</f>
        <v/>
      </c>
    </row>
    <row r="14">
      <c r="D14">
        <f>IFERROR(B14-C14,"")</f>
        <v/>
      </c>
      <c r="E14">
        <f>IFERROR(IF(D14&gt;=0,"At or above shop average",CONCATENATE("Below average by $",ROUND(ABS(D14),0),"/hr")),"")</f>
        <v/>
      </c>
    </row>
    <row r="15">
      <c r="D15">
        <f>IFERROR(B15-C15,"")</f>
        <v/>
      </c>
      <c r="E15">
        <f>IFERROR(IF(D15&gt;=0,"At or above shop average",CONCATENATE("Below average by $",ROUND(ABS(D15),0),"/hr")),"")</f>
        <v/>
      </c>
    </row>
    <row r="16">
      <c r="D16">
        <f>IFERROR(B16-C16,"")</f>
        <v/>
      </c>
      <c r="E16">
        <f>IFERROR(IF(D16&gt;=0,"At or above shop average",CONCATENATE("Below average by $",ROUND(ABS(D16),0),"/hr")),"")</f>
        <v/>
      </c>
    </row>
    <row r="17">
      <c r="D17">
        <f>IFERROR(B17-C17,"")</f>
        <v/>
      </c>
      <c r="E17">
        <f>IFERROR(IF(D17&gt;=0,"At or above shop average",CONCATENATE("Below average by $",ROUND(ABS(D17),0),"/hr")),"")</f>
        <v/>
      </c>
    </row>
    <row r="18">
      <c r="D18">
        <f>IFERROR(B18-C18,"")</f>
        <v/>
      </c>
      <c r="E18">
        <f>IFERROR(IF(D18&gt;=0,"At or above shop average",CONCATENATE("Below average by $",ROUND(ABS(D18),0),"/hr")),"")</f>
        <v/>
      </c>
    </row>
    <row r="19">
      <c r="D19">
        <f>IFERROR(B19-C19,"")</f>
        <v/>
      </c>
      <c r="E19">
        <f>IFERROR(IF(D19&gt;=0,"At or above shop average",CONCATENATE("Below average by $",ROUND(ABS(D19),0),"/hr")),"")</f>
        <v/>
      </c>
    </row>
    <row r="20">
      <c r="D20">
        <f>IFERROR(B20-C20,"")</f>
        <v/>
      </c>
      <c r="E20">
        <f>IFERROR(IF(D20&gt;=0,"At or above shop average",CONCATENATE("Below average by $",ROUND(ABS(D20),0),"/hr")),"")</f>
        <v/>
      </c>
    </row>
    <row r="21">
      <c r="D21">
        <f>IFERROR(B21-C21,"")</f>
        <v/>
      </c>
      <c r="E21">
        <f>IFERROR(IF(D21&gt;=0,"At or above shop average",CONCATENATE("Below average by $",ROUND(ABS(D21),0),"/hr")),"")</f>
        <v/>
      </c>
    </row>
    <row r="22">
      <c r="D22">
        <f>IFERROR(B22-C22,"")</f>
        <v/>
      </c>
      <c r="E22">
        <f>IFERROR(IF(D22&gt;=0,"At or above shop average",CONCATENATE("Below average by $",ROUND(ABS(D22),0),"/hr")),"")</f>
        <v/>
      </c>
    </row>
    <row r="23">
      <c r="D23">
        <f>IFERROR(B23-C23,"")</f>
        <v/>
      </c>
      <c r="E23">
        <f>IFERROR(IF(D23&gt;=0,"At or above shop average",CONCATENATE("Below average by $",ROUND(ABS(D23),0),"/hr")),"")</f>
        <v/>
      </c>
    </row>
    <row r="24">
      <c r="D24">
        <f>IFERROR(B24-C24,"")</f>
        <v/>
      </c>
      <c r="E24">
        <f>IFERROR(IF(D24&gt;=0,"At or above shop average",CONCATENATE("Below average by $",ROUND(ABS(D24),0),"/hr")),"")</f>
        <v/>
      </c>
    </row>
    <row r="25">
      <c r="D25">
        <f>IFERROR(B25-C25,"")</f>
        <v/>
      </c>
      <c r="E25">
        <f>IFERROR(IF(D25&gt;=0,"At or above shop average",CONCATENATE("Below average by $",ROUND(ABS(D25),0),"/hr")),"")</f>
        <v/>
      </c>
    </row>
  </sheetData>
  <mergeCells count="1">
    <mergeCell ref="A1:E3"/>
  </mergeCells>
  <conditionalFormatting sqref="D6:D25">
    <cfRule type="cellIs" priority="1" operator="lessThan" dxfId="0">
      <formula>0</formula>
    </cfRule>
    <cfRule type="cellIs" priority="2" operator="greaterThan" dxfId="2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2026-06-29T02:42:51Z</dcterms:created>
  <dcterms:modified xsi:type="dcterms:W3CDTF">2026-06-29T03:44:05Z</dcterms:modified>
</cp:coreProperties>
</file>