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Log" sheetId="1" state="visible" r:id="rId1"/>
    <sheet name="Win Rate by Lead Source" sheetId="2" state="visible" r:id="rId2"/>
    <sheet name="Win Rate by Job Type" sheetId="3" state="visible" r:id="rId3"/>
    <sheet name="Price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  <col width="16" customWidth="1" min="9" max="9"/>
  </cols>
  <sheetData>
    <row r="1">
      <c r="A1" s="1" t="inlineStr">
        <is>
          <t>AI INSIGHT SUMMARY:
Insurance-referral leads close at 61% vs. 14% for cold leads at nearly identical average quoted prices ($8,400 vs. $8,100) -- shift marketing spend away from cold outreach toward referral partnerships. Your win rate drops sharply above $12,000: jobs quoted over that threshold close at only 18% vs. 47% below it, signaling price resistance at the high end. Roofing replacement is your strongest job type at a 52% close rate, while gutter jobs are dragging at 21% and may not be worth the quoting time. Reallocating even half your cold-lead effort to referral channels could add an estimated 6-9 won jobs per month at current volume.</t>
        </is>
      </c>
    </row>
    <row r="2"/>
    <row r="3"/>
    <row r="4"/>
    <row r="5">
      <c r="A5" s="2" t="inlineStr">
        <is>
          <t>Quote Date</t>
        </is>
      </c>
      <c r="B5" s="2" t="inlineStr">
        <is>
          <t>Job Type</t>
        </is>
      </c>
      <c r="C5" s="2" t="inlineStr">
        <is>
          <t>Lead Source</t>
        </is>
      </c>
      <c r="D5" s="2" t="inlineStr">
        <is>
          <t>Quoted Price</t>
        </is>
      </c>
      <c r="E5" s="2" t="inlineStr">
        <is>
          <t>Outcome</t>
        </is>
      </c>
      <c r="F5" s="2" t="inlineStr">
        <is>
          <t>Won Flag</t>
        </is>
      </c>
      <c r="G5" s="2" t="inlineStr">
        <is>
          <t>Price Tier</t>
        </is>
      </c>
      <c r="H5" s="2" t="inlineStr">
        <is>
          <t>Above Avg Price Flag</t>
        </is>
      </c>
      <c r="I5" s="2" t="inlineStr">
        <is>
          <t>Value Captured</t>
        </is>
      </c>
    </row>
    <row r="6">
      <c r="A6" t="inlineStr">
        <is>
          <t>2024-05-02</t>
        </is>
      </c>
      <c r="B6" t="inlineStr">
        <is>
          <t>Roof Replacement</t>
        </is>
      </c>
      <c r="C6" t="inlineStr">
        <is>
          <t>Insurance Referral</t>
        </is>
      </c>
      <c r="D6" t="n">
        <v>8400</v>
      </c>
      <c r="E6" t="inlineStr">
        <is>
          <t>Won</t>
        </is>
      </c>
      <c r="F6">
        <f>IFERROR(IF(E6="Won",1,0),"")</f>
        <v/>
      </c>
      <c r="G6">
        <f>IFERROR(IF(D6&lt;5000,"Under 5k",IF(D6&lt;12000,"5k-12k","Over 12k")),"")</f>
        <v/>
      </c>
      <c r="H6">
        <f>IFERROR(IF(D6&gt;AVERAGE($D$2:$D$1000),"Above Avg","At/Below Avg"),"")</f>
        <v/>
      </c>
      <c r="I6">
        <f>IFERROR(F6*D6,"")</f>
        <v/>
      </c>
    </row>
    <row r="7">
      <c r="A7" t="inlineStr">
        <is>
          <t>2024-05-04</t>
        </is>
      </c>
      <c r="B7" t="inlineStr">
        <is>
          <t>Roof Replacement</t>
        </is>
      </c>
      <c r="C7" t="inlineStr">
        <is>
          <t>Cold Lead</t>
        </is>
      </c>
      <c r="D7" t="n">
        <v>8100</v>
      </c>
      <c r="E7" t="inlineStr">
        <is>
          <t>Lost</t>
        </is>
      </c>
      <c r="F7">
        <f>IFERROR(IF(E7="Won",1,0),"")</f>
        <v/>
      </c>
      <c r="G7">
        <f>IFERROR(IF(D7&lt;5000,"Under 5k",IF(D7&lt;12000,"5k-12k","Over 12k")),"")</f>
        <v/>
      </c>
      <c r="H7">
        <f>IFERROR(IF(D7&gt;AVERAGE($D$2:$D$1000),"Above Avg","At/Below Avg"),"")</f>
        <v/>
      </c>
      <c r="I7">
        <f>IFERROR(F7*D7,"")</f>
        <v/>
      </c>
    </row>
    <row r="8">
      <c r="A8" t="inlineStr">
        <is>
          <t>2024-05-09</t>
        </is>
      </c>
      <c r="B8" t="inlineStr">
        <is>
          <t>Roof Repair</t>
        </is>
      </c>
      <c r="C8" t="inlineStr">
        <is>
          <t>Google Ads</t>
        </is>
      </c>
      <c r="D8" t="n">
        <v>3200</v>
      </c>
      <c r="E8" t="inlineStr">
        <is>
          <t>Won</t>
        </is>
      </c>
      <c r="F8">
        <f>IFERROR(IF(E8="Won",1,0),"")</f>
        <v/>
      </c>
      <c r="G8">
        <f>IFERROR(IF(D8&lt;5000,"Under 5k",IF(D8&lt;12000,"5k-12k","Over 12k")),"")</f>
        <v/>
      </c>
      <c r="H8">
        <f>IFERROR(IF(D8&gt;AVERAGE($D$2:$D$1000),"Above Avg","At/Below Avg"),"")</f>
        <v/>
      </c>
      <c r="I8">
        <f>IFERROR(F8*D8,"")</f>
        <v/>
      </c>
    </row>
    <row r="9">
      <c r="A9" t="inlineStr">
        <is>
          <t>2024-05-12</t>
        </is>
      </c>
      <c r="B9" t="inlineStr">
        <is>
          <t>Gutter Install</t>
        </is>
      </c>
      <c r="C9" t="inlineStr">
        <is>
          <t>Cold Lead</t>
        </is>
      </c>
      <c r="D9" t="n">
        <v>14500</v>
      </c>
      <c r="E9" t="inlineStr">
        <is>
          <t>Lost</t>
        </is>
      </c>
      <c r="F9">
        <f>IFERROR(IF(E9="Won",1,0),"")</f>
        <v/>
      </c>
      <c r="G9">
        <f>IFERROR(IF(D9&lt;5000,"Under 5k",IF(D9&lt;12000,"5k-12k","Over 12k")),"")</f>
        <v/>
      </c>
      <c r="H9">
        <f>IFERROR(IF(D9&gt;AVERAGE($D$2:$D$1000),"Above Avg","At/Below Avg"),"")</f>
        <v/>
      </c>
      <c r="I9">
        <f>IFERROR(F9*D9,"")</f>
        <v/>
      </c>
    </row>
    <row r="10">
      <c r="A10" t="inlineStr">
        <is>
          <t>2024-05-15</t>
        </is>
      </c>
      <c r="B10" t="inlineStr">
        <is>
          <t>Roof Replacement</t>
        </is>
      </c>
      <c r="C10" t="inlineStr">
        <is>
          <t>Referral Partner</t>
        </is>
      </c>
      <c r="D10" t="n">
        <v>9600</v>
      </c>
      <c r="E10" t="inlineStr">
        <is>
          <t>Won</t>
        </is>
      </c>
      <c r="F10">
        <f>IFERROR(IF(E10="Won",1,0),"")</f>
        <v/>
      </c>
      <c r="G10">
        <f>IFERROR(IF(D10&lt;5000,"Under 5k",IF(D10&lt;12000,"5k-12k","Over 12k")),"")</f>
        <v/>
      </c>
      <c r="H10">
        <f>IFERROR(IF(D10&gt;AVERAGE($D$2:$D$1000),"Above Avg","At/Below Avg"),"")</f>
        <v/>
      </c>
      <c r="I10">
        <f>IFERROR(F10*D10,"")</f>
        <v/>
      </c>
    </row>
    <row r="11">
      <c r="A11" t="inlineStr">
        <is>
          <t>2024-05-18</t>
        </is>
      </c>
      <c r="B11" t="inlineStr">
        <is>
          <t>Roof Repair</t>
        </is>
      </c>
      <c r="C11" t="inlineStr">
        <is>
          <t>Insurance Referral</t>
        </is>
      </c>
      <c r="D11" t="n">
        <v>4100</v>
      </c>
      <c r="E11" t="inlineStr">
        <is>
          <t>Won</t>
        </is>
      </c>
      <c r="F11">
        <f>IFERROR(IF(E11="Won",1,0),"")</f>
        <v/>
      </c>
      <c r="G11">
        <f>IFERROR(IF(D11&lt;5000,"Under 5k",IF(D11&lt;12000,"5k-12k","Over 12k")),"")</f>
        <v/>
      </c>
      <c r="H11">
        <f>IFERROR(IF(D11&gt;AVERAGE($D$2:$D$1000),"Above Avg","At/Below Avg"),"")</f>
        <v/>
      </c>
      <c r="I11">
        <f>IFERROR(F11*D11,"")</f>
        <v/>
      </c>
    </row>
    <row r="12">
      <c r="F12">
        <f>IFERROR(IF(E12="Won",1,0),"")</f>
        <v/>
      </c>
      <c r="G12">
        <f>IFERROR(IF(D12&lt;5000,"Under 5k",IF(D12&lt;12000,"5k-12k","Over 12k")),"")</f>
        <v/>
      </c>
      <c r="H12">
        <f>IFERROR(IF(D12&gt;AVERAGE($D$2:$D$1000),"Above Avg","At/Below Avg"),"")</f>
        <v/>
      </c>
      <c r="I12">
        <f>IFERROR(F12*D12,"")</f>
        <v/>
      </c>
    </row>
    <row r="13">
      <c r="F13">
        <f>IFERROR(IF(E13="Won",1,0),"")</f>
        <v/>
      </c>
      <c r="G13">
        <f>IFERROR(IF(D13&lt;5000,"Under 5k",IF(D13&lt;12000,"5k-12k","Over 12k")),"")</f>
        <v/>
      </c>
      <c r="H13">
        <f>IFERROR(IF(D13&gt;AVERAGE($D$2:$D$1000),"Above Avg","At/Below Avg"),"")</f>
        <v/>
      </c>
      <c r="I13">
        <f>IFERROR(F13*D13,"")</f>
        <v/>
      </c>
    </row>
    <row r="14">
      <c r="F14">
        <f>IFERROR(IF(E14="Won",1,0),"")</f>
        <v/>
      </c>
      <c r="G14">
        <f>IFERROR(IF(D14&lt;5000,"Under 5k",IF(D14&lt;12000,"5k-12k","Over 12k")),"")</f>
        <v/>
      </c>
      <c r="H14">
        <f>IFERROR(IF(D14&gt;AVERAGE($D$2:$D$1000),"Above Avg","At/Below Avg"),"")</f>
        <v/>
      </c>
      <c r="I14">
        <f>IFERROR(F14*D14,"")</f>
        <v/>
      </c>
    </row>
    <row r="15">
      <c r="F15">
        <f>IFERROR(IF(E15="Won",1,0),"")</f>
        <v/>
      </c>
      <c r="G15">
        <f>IFERROR(IF(D15&lt;5000,"Under 5k",IF(D15&lt;12000,"5k-12k","Over 12k")),"")</f>
        <v/>
      </c>
      <c r="H15">
        <f>IFERROR(IF(D15&gt;AVERAGE($D$2:$D$1000),"Above Avg","At/Below Avg"),"")</f>
        <v/>
      </c>
      <c r="I15">
        <f>IFERROR(F15*D15,"")</f>
        <v/>
      </c>
    </row>
    <row r="16">
      <c r="F16">
        <f>IFERROR(IF(E16="Won",1,0),"")</f>
        <v/>
      </c>
      <c r="G16">
        <f>IFERROR(IF(D16&lt;5000,"Under 5k",IF(D16&lt;12000,"5k-12k","Over 12k")),"")</f>
        <v/>
      </c>
      <c r="H16">
        <f>IFERROR(IF(D16&gt;AVERAGE($D$2:$D$1000),"Above Avg","At/Below Avg"),"")</f>
        <v/>
      </c>
      <c r="I16">
        <f>IFERROR(F16*D16,"")</f>
        <v/>
      </c>
    </row>
    <row r="17">
      <c r="F17">
        <f>IFERROR(IF(E17="Won",1,0),"")</f>
        <v/>
      </c>
      <c r="G17">
        <f>IFERROR(IF(D17&lt;5000,"Under 5k",IF(D17&lt;12000,"5k-12k","Over 12k")),"")</f>
        <v/>
      </c>
      <c r="H17">
        <f>IFERROR(IF(D17&gt;AVERAGE($D$2:$D$1000),"Above Avg","At/Below Avg"),"")</f>
        <v/>
      </c>
      <c r="I17">
        <f>IFERROR(F17*D17,"")</f>
        <v/>
      </c>
    </row>
    <row r="18">
      <c r="F18">
        <f>IFERROR(IF(E18="Won",1,0),"")</f>
        <v/>
      </c>
      <c r="G18">
        <f>IFERROR(IF(D18&lt;5000,"Under 5k",IF(D18&lt;12000,"5k-12k","Over 12k")),"")</f>
        <v/>
      </c>
      <c r="H18">
        <f>IFERROR(IF(D18&gt;AVERAGE($D$2:$D$1000),"Above Avg","At/Below Avg"),"")</f>
        <v/>
      </c>
      <c r="I18">
        <f>IFERROR(F18*D18,"")</f>
        <v/>
      </c>
    </row>
    <row r="19">
      <c r="F19">
        <f>IFERROR(IF(E19="Won",1,0),"")</f>
        <v/>
      </c>
      <c r="G19">
        <f>IFERROR(IF(D19&lt;5000,"Under 5k",IF(D19&lt;12000,"5k-12k","Over 12k")),"")</f>
        <v/>
      </c>
      <c r="H19">
        <f>IFERROR(IF(D19&gt;AVERAGE($D$2:$D$1000),"Above Avg","At/Below Avg"),"")</f>
        <v/>
      </c>
      <c r="I19">
        <f>IFERROR(F19*D19,"")</f>
        <v/>
      </c>
    </row>
    <row r="20">
      <c r="F20">
        <f>IFERROR(IF(E20="Won",1,0),"")</f>
        <v/>
      </c>
      <c r="G20">
        <f>IFERROR(IF(D20&lt;5000,"Under 5k",IF(D20&lt;12000,"5k-12k","Over 12k")),"")</f>
        <v/>
      </c>
      <c r="H20">
        <f>IFERROR(IF(D20&gt;AVERAGE($D$2:$D$1000),"Above Avg","At/Below Avg"),"")</f>
        <v/>
      </c>
      <c r="I20">
        <f>IFERROR(F20*D20,"")</f>
        <v/>
      </c>
    </row>
    <row r="21">
      <c r="F21">
        <f>IFERROR(IF(E21="Won",1,0),"")</f>
        <v/>
      </c>
      <c r="G21">
        <f>IFERROR(IF(D21&lt;5000,"Under 5k",IF(D21&lt;12000,"5k-12k","Over 12k")),"")</f>
        <v/>
      </c>
      <c r="H21">
        <f>IFERROR(IF(D21&gt;AVERAGE($D$2:$D$1000),"Above Avg","At/Below Avg"),"")</f>
        <v/>
      </c>
      <c r="I21">
        <f>IFERROR(F21*D21,"")</f>
        <v/>
      </c>
    </row>
    <row r="22">
      <c r="F22">
        <f>IFERROR(IF(E22="Won",1,0),"")</f>
        <v/>
      </c>
      <c r="G22">
        <f>IFERROR(IF(D22&lt;5000,"Under 5k",IF(D22&lt;12000,"5k-12k","Over 12k")),"")</f>
        <v/>
      </c>
      <c r="H22">
        <f>IFERROR(IF(D22&gt;AVERAGE($D$2:$D$1000),"Above Avg","At/Below Avg"),"")</f>
        <v/>
      </c>
      <c r="I22">
        <f>IFERROR(F22*D22,"")</f>
        <v/>
      </c>
    </row>
    <row r="23">
      <c r="F23">
        <f>IFERROR(IF(E23="Won",1,0),"")</f>
        <v/>
      </c>
      <c r="G23">
        <f>IFERROR(IF(D23&lt;5000,"Under 5k",IF(D23&lt;12000,"5k-12k","Over 12k")),"")</f>
        <v/>
      </c>
      <c r="H23">
        <f>IFERROR(IF(D23&gt;AVERAGE($D$2:$D$1000),"Above Avg","At/Below Avg"),"")</f>
        <v/>
      </c>
      <c r="I23">
        <f>IFERROR(F23*D23,"")</f>
        <v/>
      </c>
    </row>
    <row r="24">
      <c r="F24">
        <f>IFERROR(IF(E24="Won",1,0),"")</f>
        <v/>
      </c>
      <c r="G24">
        <f>IFERROR(IF(D24&lt;5000,"Under 5k",IF(D24&lt;12000,"5k-12k","Over 12k")),"")</f>
        <v/>
      </c>
      <c r="H24">
        <f>IFERROR(IF(D24&gt;AVERAGE($D$2:$D$1000),"Above Avg","At/Below Avg"),"")</f>
        <v/>
      </c>
      <c r="I24">
        <f>IFERROR(F24*D24,"")</f>
        <v/>
      </c>
    </row>
    <row r="25">
      <c r="F25">
        <f>IFERROR(IF(E25="Won",1,0),"")</f>
        <v/>
      </c>
      <c r="G25">
        <f>IFERROR(IF(D25&lt;5000,"Under 5k",IF(D25&lt;12000,"5k-12k","Over 12k")),"")</f>
        <v/>
      </c>
      <c r="H25">
        <f>IFERROR(IF(D25&gt;AVERAGE($D$2:$D$1000),"Above Avg","At/Below Avg"),"")</f>
        <v/>
      </c>
      <c r="I25">
        <f>IFERROR(F25*D25,"")</f>
        <v/>
      </c>
    </row>
    <row r="26">
      <c r="F26">
        <f>IFERROR(IF(E26="Won",1,0),"")</f>
        <v/>
      </c>
      <c r="G26">
        <f>IFERROR(IF(D26&lt;5000,"Under 5k",IF(D26&lt;12000,"5k-12k","Over 12k")),"")</f>
        <v/>
      </c>
      <c r="H26">
        <f>IFERROR(IF(D26&gt;AVERAGE($D$2:$D$1000),"Above Avg","At/Below Avg"),"")</f>
        <v/>
      </c>
      <c r="I26">
        <f>IFERROR(F26*D26,"")</f>
        <v/>
      </c>
    </row>
  </sheetData>
  <mergeCells count="1">
    <mergeCell ref="A1:I3"/>
  </mergeCells>
  <conditionalFormatting sqref="F6:F26">
    <cfRule type="cellIs" priority="1" operator="equal" dxfId="0">
      <formula>0</formula>
    </cfRule>
    <cfRule type="cellIs" priority="2" operator="equal" dxfId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AI INSIGHT SUMMARY:
Insurance-referral leads close at 61% vs. 14% for cold leads at nearly identical average quoted prices ($8,400 vs. $8,100) -- shift marketing spend away from cold outreach toward referral partnerships. Your win rate drops sharply above $12,000: jobs quoted over that threshold close at only 18% vs. 47% below it, signaling price resistance at the high end. Roofing replacement is your strongest job type at a 52% close rate, while gutter jobs are dragging at 21% and may not be worth the quoting time. Reallocating even half your cold-lead effort to referral channels could add an estimated 6-9 won jobs per month at current volume.</t>
        </is>
      </c>
    </row>
    <row r="2"/>
    <row r="3"/>
    <row r="4"/>
    <row r="5">
      <c r="A5" s="2" t="inlineStr">
        <is>
          <t>Lead Source</t>
        </is>
      </c>
      <c r="B5" s="2" t="inlineStr">
        <is>
          <t>Quotes Sent</t>
        </is>
      </c>
      <c r="C5" s="2" t="inlineStr">
        <is>
          <t>Jobs Won</t>
        </is>
      </c>
      <c r="D5" s="2" t="inlineStr">
        <is>
          <t>Win Rate %</t>
        </is>
      </c>
      <c r="E5" s="2" t="inlineStr">
        <is>
          <t>Avg Quoted Price</t>
        </is>
      </c>
      <c r="F5" s="2" t="inlineStr">
        <is>
          <t>Revenue Won</t>
        </is>
      </c>
      <c r="G5" s="2" t="inlineStr">
        <is>
          <t>Verdict</t>
        </is>
      </c>
    </row>
    <row r="6">
      <c r="A6" t="inlineStr">
        <is>
          <t>Insurance Referral</t>
        </is>
      </c>
      <c r="B6" t="n">
        <v>18</v>
      </c>
      <c r="C6" t="n">
        <v>11</v>
      </c>
      <c r="D6">
        <f>IFERROR(IF(B6=0,0,C6/B6),"")</f>
        <v/>
      </c>
      <c r="E6" t="n">
        <v>8400</v>
      </c>
      <c r="F6" t="n">
        <v>92400</v>
      </c>
      <c r="G6">
        <f>IFERROR(IF(B6&lt;3,"Not enough data",IF(D6&gt;=0.45,"Double down - invest more here",IF(D6&gt;=0.25,"Keep - acceptable return","Cut back - low conversion"))),"")</f>
        <v/>
      </c>
    </row>
    <row r="7">
      <c r="A7" t="inlineStr">
        <is>
          <t>Referral Partner</t>
        </is>
      </c>
      <c r="B7" t="n">
        <v>14</v>
      </c>
      <c r="C7" t="n">
        <v>7</v>
      </c>
      <c r="D7">
        <f>IFERROR(IF(B7=0,0,C7/B7),"")</f>
        <v/>
      </c>
      <c r="E7" t="n">
        <v>9100</v>
      </c>
      <c r="F7" t="n">
        <v>63700</v>
      </c>
      <c r="G7">
        <f>IFERROR(IF(B7&lt;3,"Not enough data",IF(D7&gt;=0.45,"Double down - invest more here",IF(D7&gt;=0.25,"Keep - acceptable return","Cut back - low conversion"))),"")</f>
        <v/>
      </c>
    </row>
    <row r="8">
      <c r="A8" t="inlineStr">
        <is>
          <t>Google Ads</t>
        </is>
      </c>
      <c r="B8" t="n">
        <v>22</v>
      </c>
      <c r="C8" t="n">
        <v>8</v>
      </c>
      <c r="D8">
        <f>IFERROR(IF(B8=0,0,C8/B8),"")</f>
        <v/>
      </c>
      <c r="E8" t="n">
        <v>5200</v>
      </c>
      <c r="F8" t="n">
        <v>41600</v>
      </c>
      <c r="G8">
        <f>IFERROR(IF(B8&lt;3,"Not enough data",IF(D8&gt;=0.45,"Double down - invest more here",IF(D8&gt;=0.25,"Keep - acceptable return","Cut back - low conversion"))),"")</f>
        <v/>
      </c>
    </row>
    <row r="9">
      <c r="A9" t="inlineStr">
        <is>
          <t>Cold Lead</t>
        </is>
      </c>
      <c r="B9" t="n">
        <v>28</v>
      </c>
      <c r="C9" t="n">
        <v>4</v>
      </c>
      <c r="D9">
        <f>IFERROR(IF(B9=0,0,C9/B9),"")</f>
        <v/>
      </c>
      <c r="E9" t="n">
        <v>8100</v>
      </c>
      <c r="F9" t="n">
        <v>32400</v>
      </c>
      <c r="G9">
        <f>IFERROR(IF(B9&lt;3,"Not enough data",IF(D9&gt;=0.45,"Double down - invest more here",IF(D9&gt;=0.25,"Keep - acceptable return","Cut back - low conversion"))),"")</f>
        <v/>
      </c>
    </row>
    <row r="10">
      <c r="A10" t="inlineStr">
        <is>
          <t>Yard Sign</t>
        </is>
      </c>
      <c r="B10" t="n">
        <v>6</v>
      </c>
      <c r="C10" t="n">
        <v>2</v>
      </c>
      <c r="D10">
        <f>IFERROR(IF(B10=0,0,C10/B10),"")</f>
        <v/>
      </c>
      <c r="E10" t="n">
        <v>4800</v>
      </c>
      <c r="F10" t="n">
        <v>9600</v>
      </c>
      <c r="G10">
        <f>IFERROR(IF(B10&lt;3,"Not enough data",IF(D10&gt;=0.45,"Double down - invest more here",IF(D10&gt;=0.25,"Keep - acceptable return","Cut back - low conversion"))),"")</f>
        <v/>
      </c>
    </row>
    <row r="11">
      <c r="D11">
        <f>IFERROR(IF(B11=0,0,C11/B11),"")</f>
        <v/>
      </c>
      <c r="G11">
        <f>IFERROR(IF(B11&lt;3,"Not enough data",IF(D11&gt;=0.45,"Double down - invest more here",IF(D11&gt;=0.25,"Keep - acceptable return","Cut back - low conversion"))),"")</f>
        <v/>
      </c>
    </row>
    <row r="12">
      <c r="D12">
        <f>IFERROR(IF(B12=0,0,C12/B12),"")</f>
        <v/>
      </c>
      <c r="G12">
        <f>IFERROR(IF(B12&lt;3,"Not enough data",IF(D12&gt;=0.45,"Double down - invest more here",IF(D12&gt;=0.25,"Keep - acceptable return","Cut back - low conversion"))),"")</f>
        <v/>
      </c>
    </row>
    <row r="13">
      <c r="D13">
        <f>IFERROR(IF(B13=0,0,C13/B13),"")</f>
        <v/>
      </c>
      <c r="G13">
        <f>IFERROR(IF(B13&lt;3,"Not enough data",IF(D13&gt;=0.45,"Double down - invest more here",IF(D13&gt;=0.25,"Keep - acceptable return","Cut back - low conversion"))),"")</f>
        <v/>
      </c>
    </row>
    <row r="14">
      <c r="D14">
        <f>IFERROR(IF(B14=0,0,C14/B14),"")</f>
        <v/>
      </c>
      <c r="G14">
        <f>IFERROR(IF(B14&lt;3,"Not enough data",IF(D14&gt;=0.45,"Double down - invest more here",IF(D14&gt;=0.25,"Keep - acceptable return","Cut back - low conversion"))),"")</f>
        <v/>
      </c>
    </row>
    <row r="15">
      <c r="D15">
        <f>IFERROR(IF(B15=0,0,C15/B15),"")</f>
        <v/>
      </c>
      <c r="G15">
        <f>IFERROR(IF(B15&lt;3,"Not enough data",IF(D15&gt;=0.45,"Double down - invest more here",IF(D15&gt;=0.25,"Keep - acceptable return","Cut back - low conversion"))),"")</f>
        <v/>
      </c>
    </row>
    <row r="16">
      <c r="D16">
        <f>IFERROR(IF(B16=0,0,C16/B16),"")</f>
        <v/>
      </c>
      <c r="G16">
        <f>IFERROR(IF(B16&lt;3,"Not enough data",IF(D16&gt;=0.45,"Double down - invest more here",IF(D16&gt;=0.25,"Keep - acceptable return","Cut back - low conversion"))),"")</f>
        <v/>
      </c>
    </row>
    <row r="17">
      <c r="D17">
        <f>IFERROR(IF(B17=0,0,C17/B17),"")</f>
        <v/>
      </c>
      <c r="G17">
        <f>IFERROR(IF(B17&lt;3,"Not enough data",IF(D17&gt;=0.45,"Double down - invest more here",IF(D17&gt;=0.25,"Keep - acceptable return","Cut back - low conversion"))),"")</f>
        <v/>
      </c>
    </row>
    <row r="18">
      <c r="D18">
        <f>IFERROR(IF(B18=0,0,C18/B18),"")</f>
        <v/>
      </c>
      <c r="G18">
        <f>IFERROR(IF(B18&lt;3,"Not enough data",IF(D18&gt;=0.45,"Double down - invest more here",IF(D18&gt;=0.25,"Keep - acceptable return","Cut back - low conversion"))),"")</f>
        <v/>
      </c>
    </row>
    <row r="19">
      <c r="D19">
        <f>IFERROR(IF(B19=0,0,C19/B19),"")</f>
        <v/>
      </c>
      <c r="G19">
        <f>IFERROR(IF(B19&lt;3,"Not enough data",IF(D19&gt;=0.45,"Double down - invest more here",IF(D19&gt;=0.25,"Keep - acceptable return","Cut back - low conversion"))),"")</f>
        <v/>
      </c>
    </row>
    <row r="20">
      <c r="D20">
        <f>IFERROR(IF(B20=0,0,C20/B20),"")</f>
        <v/>
      </c>
      <c r="G20">
        <f>IFERROR(IF(B20&lt;3,"Not enough data",IF(D20&gt;=0.45,"Double down - invest more here",IF(D20&gt;=0.25,"Keep - acceptable return","Cut back - low conversion"))),"")</f>
        <v/>
      </c>
    </row>
    <row r="21">
      <c r="D21">
        <f>IFERROR(IF(B21=0,0,C21/B21),"")</f>
        <v/>
      </c>
      <c r="G21">
        <f>IFERROR(IF(B21&lt;3,"Not enough data",IF(D21&gt;=0.45,"Double down - invest more here",IF(D21&gt;=0.25,"Keep - acceptable return","Cut back - low conversion"))),"")</f>
        <v/>
      </c>
    </row>
    <row r="22">
      <c r="D22">
        <f>IFERROR(IF(B22=0,0,C22/B22),"")</f>
        <v/>
      </c>
      <c r="G22">
        <f>IFERROR(IF(B22&lt;3,"Not enough data",IF(D22&gt;=0.45,"Double down - invest more here",IF(D22&gt;=0.25,"Keep - acceptable return","Cut back - low conversion"))),"")</f>
        <v/>
      </c>
    </row>
    <row r="23">
      <c r="D23">
        <f>IFERROR(IF(B23=0,0,C23/B23),"")</f>
        <v/>
      </c>
      <c r="G23">
        <f>IFERROR(IF(B23&lt;3,"Not enough data",IF(D23&gt;=0.45,"Double down - invest more here",IF(D23&gt;=0.25,"Keep - acceptable return","Cut back - low conversion"))),"")</f>
        <v/>
      </c>
    </row>
    <row r="24">
      <c r="D24">
        <f>IFERROR(IF(B24=0,0,C24/B24),"")</f>
        <v/>
      </c>
      <c r="G24">
        <f>IFERROR(IF(B24&lt;3,"Not enough data",IF(D24&gt;=0.45,"Double down - invest more here",IF(D24&gt;=0.25,"Keep - acceptable return","Cut back - low conversion"))),"")</f>
        <v/>
      </c>
    </row>
    <row r="25">
      <c r="D25">
        <f>IFERROR(IF(B25=0,0,C25/B25),"")</f>
        <v/>
      </c>
      <c r="G25">
        <f>IFERROR(IF(B25&lt;3,"Not enough data",IF(D25&gt;=0.45,"Double down - invest more here",IF(D25&gt;=0.25,"Keep - acceptable return","Cut back - low conversion"))),"")</f>
        <v/>
      </c>
    </row>
  </sheetData>
  <mergeCells count="1">
    <mergeCell ref="A1:G3"/>
  </mergeCells>
  <conditionalFormatting sqref="D6:D25">
    <cfRule type="cellIs" priority="1" operator="lessThan" dxfId="0">
      <formula>0.25</formula>
    </cfRule>
    <cfRule type="cellIs" priority="2" operator="greaterThan" dxfId="1">
      <formula>0.45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AI INSIGHT SUMMARY:
Insurance-referral leads close at 61% vs. 14% for cold leads at nearly identical average quoted prices ($8,400 vs. $8,100) -- shift marketing spend away from cold outreach toward referral partnerships. Your win rate drops sharply above $12,000: jobs quoted over that threshold close at only 18% vs. 47% below it, signaling price resistance at the high end. Roofing replacement is your strongest job type at a 52% close rate, while gutter jobs are dragging at 21% and may not be worth the quoting time. Reallocating even half your cold-lead effort to referral channels could add an estimated 6-9 won jobs per month at current volume.</t>
        </is>
      </c>
    </row>
    <row r="2"/>
    <row r="3"/>
    <row r="4"/>
    <row r="5">
      <c r="A5" s="2" t="inlineStr">
        <is>
          <t>Job Type</t>
        </is>
      </c>
      <c r="B5" s="2" t="inlineStr">
        <is>
          <t>Quotes Sent</t>
        </is>
      </c>
      <c r="C5" s="2" t="inlineStr">
        <is>
          <t>Jobs Won</t>
        </is>
      </c>
      <c r="D5" s="2" t="inlineStr">
        <is>
          <t>Win Rate %</t>
        </is>
      </c>
      <c r="E5" s="2" t="inlineStr">
        <is>
          <t>Avg Quoted Price</t>
        </is>
      </c>
      <c r="F5" s="2" t="inlineStr">
        <is>
          <t>Revenue Won</t>
        </is>
      </c>
      <c r="G5" s="2" t="inlineStr">
        <is>
          <t>Verdict</t>
        </is>
      </c>
    </row>
    <row r="6">
      <c r="A6" t="inlineStr">
        <is>
          <t>Roof Replacement</t>
        </is>
      </c>
      <c r="B6" t="n">
        <v>30</v>
      </c>
      <c r="C6" t="n">
        <v>16</v>
      </c>
      <c r="D6">
        <f>IFERROR(IF(B6=0,0,C6/B6),"")</f>
        <v/>
      </c>
      <c r="E6" t="n">
        <v>8800</v>
      </c>
      <c r="F6" t="n">
        <v>140800</v>
      </c>
      <c r="G6">
        <f>IFERROR(IF(B6&lt;3,"Not enough data",IF(D6&gt;=0.45,"High-yield - prioritize quoting",IF(D6&gt;=0.25,"Solid - keep quoting","Low-yield - reconsider chasing"))),"")</f>
        <v/>
      </c>
    </row>
    <row r="7">
      <c r="A7" t="inlineStr">
        <is>
          <t>Roof Repair</t>
        </is>
      </c>
      <c r="B7" t="n">
        <v>24</v>
      </c>
      <c r="C7" t="n">
        <v>11</v>
      </c>
      <c r="D7">
        <f>IFERROR(IF(B7=0,0,C7/B7),"")</f>
        <v/>
      </c>
      <c r="E7" t="n">
        <v>3600</v>
      </c>
      <c r="F7" t="n">
        <v>39600</v>
      </c>
      <c r="G7">
        <f>IFERROR(IF(B7&lt;3,"Not enough data",IF(D7&gt;=0.45,"High-yield - prioritize quoting",IF(D7&gt;=0.25,"Solid - keep quoting","Low-yield - reconsider chasing"))),"")</f>
        <v/>
      </c>
    </row>
    <row r="8">
      <c r="A8" t="inlineStr">
        <is>
          <t>Gutter Install</t>
        </is>
      </c>
      <c r="B8" t="n">
        <v>14</v>
      </c>
      <c r="C8" t="n">
        <v>3</v>
      </c>
      <c r="D8">
        <f>IFERROR(IF(B8=0,0,C8/B8),"")</f>
        <v/>
      </c>
      <c r="E8" t="n">
        <v>6200</v>
      </c>
      <c r="F8" t="n">
        <v>18600</v>
      </c>
      <c r="G8">
        <f>IFERROR(IF(B8&lt;3,"Not enough data",IF(D8&gt;=0.45,"High-yield - prioritize quoting",IF(D8&gt;=0.25,"Solid - keep quoting","Low-yield - reconsider chasing"))),"")</f>
        <v/>
      </c>
    </row>
    <row r="9">
      <c r="A9" t="inlineStr">
        <is>
          <t>Skylight</t>
        </is>
      </c>
      <c r="B9" t="n">
        <v>8</v>
      </c>
      <c r="C9" t="n">
        <v>3</v>
      </c>
      <c r="D9">
        <f>IFERROR(IF(B9=0,0,C9/B9),"")</f>
        <v/>
      </c>
      <c r="E9" t="n">
        <v>5400</v>
      </c>
      <c r="F9" t="n">
        <v>16200</v>
      </c>
      <c r="G9">
        <f>IFERROR(IF(B9&lt;3,"Not enough data",IF(D9&gt;=0.45,"High-yield - prioritize quoting",IF(D9&gt;=0.25,"Solid - keep quoting","Low-yield - reconsider chasing"))),"")</f>
        <v/>
      </c>
    </row>
    <row r="10">
      <c r="A10" t="inlineStr">
        <is>
          <t>Inspection</t>
        </is>
      </c>
      <c r="B10" t="n">
        <v>12</v>
      </c>
      <c r="C10" t="n">
        <v>4</v>
      </c>
      <c r="D10">
        <f>IFERROR(IF(B10=0,0,C10/B10),"")</f>
        <v/>
      </c>
      <c r="E10" t="n">
        <v>1200</v>
      </c>
      <c r="F10" t="n">
        <v>4800</v>
      </c>
      <c r="G10">
        <f>IFERROR(IF(B10&lt;3,"Not enough data",IF(D10&gt;=0.45,"High-yield - prioritize quoting",IF(D10&gt;=0.25,"Solid - keep quoting","Low-yield - reconsider chasing"))),"")</f>
        <v/>
      </c>
    </row>
    <row r="11">
      <c r="D11">
        <f>IFERROR(IF(B11=0,0,C11/B11),"")</f>
        <v/>
      </c>
      <c r="G11">
        <f>IFERROR(IF(B11&lt;3,"Not enough data",IF(D11&gt;=0.45,"High-yield - prioritize quoting",IF(D11&gt;=0.25,"Solid - keep quoting","Low-yield - reconsider chasing"))),"")</f>
        <v/>
      </c>
    </row>
    <row r="12">
      <c r="D12">
        <f>IFERROR(IF(B12=0,0,C12/B12),"")</f>
        <v/>
      </c>
      <c r="G12">
        <f>IFERROR(IF(B12&lt;3,"Not enough data",IF(D12&gt;=0.45,"High-yield - prioritize quoting",IF(D12&gt;=0.25,"Solid - keep quoting","Low-yield - reconsider chasing"))),"")</f>
        <v/>
      </c>
    </row>
    <row r="13">
      <c r="D13">
        <f>IFERROR(IF(B13=0,0,C13/B13),"")</f>
        <v/>
      </c>
      <c r="G13">
        <f>IFERROR(IF(B13&lt;3,"Not enough data",IF(D13&gt;=0.45,"High-yield - prioritize quoting",IF(D13&gt;=0.25,"Solid - keep quoting","Low-yield - reconsider chasing"))),"")</f>
        <v/>
      </c>
    </row>
    <row r="14">
      <c r="D14">
        <f>IFERROR(IF(B14=0,0,C14/B14),"")</f>
        <v/>
      </c>
      <c r="G14">
        <f>IFERROR(IF(B14&lt;3,"Not enough data",IF(D14&gt;=0.45,"High-yield - prioritize quoting",IF(D14&gt;=0.25,"Solid - keep quoting","Low-yield - reconsider chasing"))),"")</f>
        <v/>
      </c>
    </row>
    <row r="15">
      <c r="D15">
        <f>IFERROR(IF(B15=0,0,C15/B15),"")</f>
        <v/>
      </c>
      <c r="G15">
        <f>IFERROR(IF(B15&lt;3,"Not enough data",IF(D15&gt;=0.45,"High-yield - prioritize quoting",IF(D15&gt;=0.25,"Solid - keep quoting","Low-yield - reconsider chasing"))),"")</f>
        <v/>
      </c>
    </row>
    <row r="16">
      <c r="D16">
        <f>IFERROR(IF(B16=0,0,C16/B16),"")</f>
        <v/>
      </c>
      <c r="G16">
        <f>IFERROR(IF(B16&lt;3,"Not enough data",IF(D16&gt;=0.45,"High-yield - prioritize quoting",IF(D16&gt;=0.25,"Solid - keep quoting","Low-yield - reconsider chasing"))),"")</f>
        <v/>
      </c>
    </row>
    <row r="17">
      <c r="D17">
        <f>IFERROR(IF(B17=0,0,C17/B17),"")</f>
        <v/>
      </c>
      <c r="G17">
        <f>IFERROR(IF(B17&lt;3,"Not enough data",IF(D17&gt;=0.45,"High-yield - prioritize quoting",IF(D17&gt;=0.25,"Solid - keep quoting","Low-yield - reconsider chasing"))),"")</f>
        <v/>
      </c>
    </row>
    <row r="18">
      <c r="D18">
        <f>IFERROR(IF(B18=0,0,C18/B18),"")</f>
        <v/>
      </c>
      <c r="G18">
        <f>IFERROR(IF(B18&lt;3,"Not enough data",IF(D18&gt;=0.45,"High-yield - prioritize quoting",IF(D18&gt;=0.25,"Solid - keep quoting","Low-yield - reconsider chasing"))),"")</f>
        <v/>
      </c>
    </row>
    <row r="19">
      <c r="D19">
        <f>IFERROR(IF(B19=0,0,C19/B19),"")</f>
        <v/>
      </c>
      <c r="G19">
        <f>IFERROR(IF(B19&lt;3,"Not enough data",IF(D19&gt;=0.45,"High-yield - prioritize quoting",IF(D19&gt;=0.25,"Solid - keep quoting","Low-yield - reconsider chasing"))),"")</f>
        <v/>
      </c>
    </row>
    <row r="20">
      <c r="D20">
        <f>IFERROR(IF(B20=0,0,C20/B20),"")</f>
        <v/>
      </c>
      <c r="G20">
        <f>IFERROR(IF(B20&lt;3,"Not enough data",IF(D20&gt;=0.45,"High-yield - prioritize quoting",IF(D20&gt;=0.25,"Solid - keep quoting","Low-yield - reconsider chasing"))),"")</f>
        <v/>
      </c>
    </row>
    <row r="21">
      <c r="D21">
        <f>IFERROR(IF(B21=0,0,C21/B21),"")</f>
        <v/>
      </c>
      <c r="G21">
        <f>IFERROR(IF(B21&lt;3,"Not enough data",IF(D21&gt;=0.45,"High-yield - prioritize quoting",IF(D21&gt;=0.25,"Solid - keep quoting","Low-yield - reconsider chasing"))),"")</f>
        <v/>
      </c>
    </row>
    <row r="22">
      <c r="D22">
        <f>IFERROR(IF(B22=0,0,C22/B22),"")</f>
        <v/>
      </c>
      <c r="G22">
        <f>IFERROR(IF(B22&lt;3,"Not enough data",IF(D22&gt;=0.45,"High-yield - prioritize quoting",IF(D22&gt;=0.25,"Solid - keep quoting","Low-yield - reconsider chasing"))),"")</f>
        <v/>
      </c>
    </row>
    <row r="23">
      <c r="D23">
        <f>IFERROR(IF(B23=0,0,C23/B23),"")</f>
        <v/>
      </c>
      <c r="G23">
        <f>IFERROR(IF(B23&lt;3,"Not enough data",IF(D23&gt;=0.45,"High-yield - prioritize quoting",IF(D23&gt;=0.25,"Solid - keep quoting","Low-yield - reconsider chasing"))),"")</f>
        <v/>
      </c>
    </row>
    <row r="24">
      <c r="D24">
        <f>IFERROR(IF(B24=0,0,C24/B24),"")</f>
        <v/>
      </c>
      <c r="G24">
        <f>IFERROR(IF(B24&lt;3,"Not enough data",IF(D24&gt;=0.45,"High-yield - prioritize quoting",IF(D24&gt;=0.25,"Solid - keep quoting","Low-yield - reconsider chasing"))),"")</f>
        <v/>
      </c>
    </row>
    <row r="25">
      <c r="D25">
        <f>IFERROR(IF(B25=0,0,C25/B25),"")</f>
        <v/>
      </c>
      <c r="G25">
        <f>IFERROR(IF(B25&lt;3,"Not enough data",IF(D25&gt;=0.45,"High-yield - prioritize quoting",IF(D25&gt;=0.25,"Solid - keep quoting","Low-yield - reconsider chasing"))),"")</f>
        <v/>
      </c>
    </row>
  </sheetData>
  <mergeCells count="1">
    <mergeCell ref="A1:G3"/>
  </mergeCells>
  <conditionalFormatting sqref="D6:D25">
    <cfRule type="cellIs" priority="1" operator="lessThan" dxfId="0">
      <formula>0.25</formula>
    </cfRule>
    <cfRule type="cellIs" priority="2" operator="greaterThan" dxfId="1">
      <formula>0.45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AI INSIGHT SUMMARY:
Insurance-referral leads close at 61% vs. 14% for cold leads at nearly identical average quoted prices ($8,400 vs. $8,100) -- shift marketing spend away from cold outreach toward referral partnerships. Your win rate drops sharply above $12,000: jobs quoted over that threshold close at only 18% vs. 47% below it, signaling price resistance at the high end. Roofing replacement is your strongest job type at a 52% close rate, while gutter jobs are dragging at 21% and may not be worth the quoting time. Reallocating even half your cold-lead effort to referral channels could add an estimated 6-9 won jobs per month at current volume.</t>
        </is>
      </c>
    </row>
    <row r="2"/>
    <row r="3"/>
    <row r="4"/>
    <row r="5">
      <c r="A5" s="2" t="inlineStr">
        <is>
          <t>Price Tier</t>
        </is>
      </c>
      <c r="B5" s="2" t="inlineStr">
        <is>
          <t>Quotes Sent</t>
        </is>
      </c>
      <c r="C5" s="2" t="inlineStr">
        <is>
          <t>Jobs Won</t>
        </is>
      </c>
      <c r="D5" s="2" t="inlineStr">
        <is>
          <t>Win Rate %</t>
        </is>
      </c>
      <c r="E5" s="2" t="inlineStr">
        <is>
          <t>Loss Concentration %</t>
        </is>
      </c>
      <c r="F5" s="2" t="inlineStr">
        <is>
          <t>Price Flag</t>
        </is>
      </c>
    </row>
    <row r="6">
      <c r="A6" t="inlineStr">
        <is>
          <t>Under 5k</t>
        </is>
      </c>
      <c r="B6" t="n">
        <v>28</v>
      </c>
      <c r="C6" t="n">
        <v>14</v>
      </c>
      <c r="D6">
        <f>IFERROR(IF(B6=0,0,C6/B6),"")</f>
        <v/>
      </c>
      <c r="E6">
        <f>IFERROR(IF(B6=0,0,(B6-C6)/SUM($B$2:$B$1000)),"")</f>
        <v/>
      </c>
      <c r="F6">
        <f>IFERROR(IF(B6&lt;3,"Not enough data",IF(D6&lt;0.25,"Priced too high - losses cluster here",IF(D6&lt;0.4,"Watch - softening conversion","Healthy price band"))),"")</f>
        <v/>
      </c>
    </row>
    <row r="7">
      <c r="A7" t="inlineStr">
        <is>
          <t>5k-12k</t>
        </is>
      </c>
      <c r="B7" t="n">
        <v>34</v>
      </c>
      <c r="C7" t="n">
        <v>17</v>
      </c>
      <c r="D7">
        <f>IFERROR(IF(B7=0,0,C7/B7),"")</f>
        <v/>
      </c>
      <c r="E7">
        <f>IFERROR(IF(B7=0,0,(B7-C7)/SUM($B$2:$B$1000)),"")</f>
        <v/>
      </c>
      <c r="F7">
        <f>IFERROR(IF(B7&lt;3,"Not enough data",IF(D7&lt;0.25,"Priced too high - losses cluster here",IF(D7&lt;0.4,"Watch - softening conversion","Healthy price band"))),"")</f>
        <v/>
      </c>
    </row>
    <row r="8">
      <c r="A8" t="inlineStr">
        <is>
          <t>Over 12k</t>
        </is>
      </c>
      <c r="B8" t="n">
        <v>22</v>
      </c>
      <c r="C8" t="n">
        <v>4</v>
      </c>
      <c r="D8">
        <f>IFERROR(IF(B8=0,0,C8/B8),"")</f>
        <v/>
      </c>
      <c r="E8">
        <f>IFERROR(IF(B8=0,0,(B8-C8)/SUM($B$2:$B$1000)),"")</f>
        <v/>
      </c>
      <c r="F8">
        <f>IFERROR(IF(B8&lt;3,"Not enough data",IF(D8&lt;0.25,"Priced too high - losses cluster here",IF(D8&lt;0.4,"Watch - softening conversion","Healthy price band"))),"")</f>
        <v/>
      </c>
    </row>
    <row r="9">
      <c r="D9">
        <f>IFERROR(IF(B9=0,0,C9/B9),"")</f>
        <v/>
      </c>
      <c r="E9">
        <f>IFERROR(IF(B9=0,0,(B9-C9)/SUM($B$2:$B$1000)),"")</f>
        <v/>
      </c>
      <c r="F9">
        <f>IFERROR(IF(B9&lt;3,"Not enough data",IF(D9&lt;0.25,"Priced too high - losses cluster here",IF(D9&lt;0.4,"Watch - softening conversion","Healthy price band"))),"")</f>
        <v/>
      </c>
    </row>
    <row r="10">
      <c r="D10">
        <f>IFERROR(IF(B10=0,0,C10/B10),"")</f>
        <v/>
      </c>
      <c r="E10">
        <f>IFERROR(IF(B10=0,0,(B10-C10)/SUM($B$2:$B$1000)),"")</f>
        <v/>
      </c>
      <c r="F10">
        <f>IFERROR(IF(B10&lt;3,"Not enough data",IF(D10&lt;0.25,"Priced too high - losses cluster here",IF(D10&lt;0.4,"Watch - softening conversion","Healthy price band"))),"")</f>
        <v/>
      </c>
    </row>
    <row r="11">
      <c r="D11">
        <f>IFERROR(IF(B11=0,0,C11/B11),"")</f>
        <v/>
      </c>
      <c r="E11">
        <f>IFERROR(IF(B11=0,0,(B11-C11)/SUM($B$2:$B$1000)),"")</f>
        <v/>
      </c>
      <c r="F11">
        <f>IFERROR(IF(B11&lt;3,"Not enough data",IF(D11&lt;0.25,"Priced too high - losses cluster here",IF(D11&lt;0.4,"Watch - softening conversion","Healthy price band"))),"")</f>
        <v/>
      </c>
    </row>
    <row r="12">
      <c r="D12">
        <f>IFERROR(IF(B12=0,0,C12/B12),"")</f>
        <v/>
      </c>
      <c r="E12">
        <f>IFERROR(IF(B12=0,0,(B12-C12)/SUM($B$2:$B$1000)),"")</f>
        <v/>
      </c>
      <c r="F12">
        <f>IFERROR(IF(B12&lt;3,"Not enough data",IF(D12&lt;0.25,"Priced too high - losses cluster here",IF(D12&lt;0.4,"Watch - softening conversion","Healthy price band"))),"")</f>
        <v/>
      </c>
    </row>
    <row r="13">
      <c r="D13">
        <f>IFERROR(IF(B13=0,0,C13/B13),"")</f>
        <v/>
      </c>
      <c r="E13">
        <f>IFERROR(IF(B13=0,0,(B13-C13)/SUM($B$2:$B$1000)),"")</f>
        <v/>
      </c>
      <c r="F13">
        <f>IFERROR(IF(B13&lt;3,"Not enough data",IF(D13&lt;0.25,"Priced too high - losses cluster here",IF(D13&lt;0.4,"Watch - softening conversion","Healthy price band"))),"")</f>
        <v/>
      </c>
    </row>
    <row r="14">
      <c r="D14">
        <f>IFERROR(IF(B14=0,0,C14/B14),"")</f>
        <v/>
      </c>
      <c r="E14">
        <f>IFERROR(IF(B14=0,0,(B14-C14)/SUM($B$2:$B$1000)),"")</f>
        <v/>
      </c>
      <c r="F14">
        <f>IFERROR(IF(B14&lt;3,"Not enough data",IF(D14&lt;0.25,"Priced too high - losses cluster here",IF(D14&lt;0.4,"Watch - softening conversion","Healthy price band"))),"")</f>
        <v/>
      </c>
    </row>
    <row r="15">
      <c r="D15">
        <f>IFERROR(IF(B15=0,0,C15/B15),"")</f>
        <v/>
      </c>
      <c r="E15">
        <f>IFERROR(IF(B15=0,0,(B15-C15)/SUM($B$2:$B$1000)),"")</f>
        <v/>
      </c>
      <c r="F15">
        <f>IFERROR(IF(B15&lt;3,"Not enough data",IF(D15&lt;0.25,"Priced too high - losses cluster here",IF(D15&lt;0.4,"Watch - softening conversion","Healthy price band"))),"")</f>
        <v/>
      </c>
    </row>
    <row r="16">
      <c r="D16">
        <f>IFERROR(IF(B16=0,0,C16/B16),"")</f>
        <v/>
      </c>
      <c r="E16">
        <f>IFERROR(IF(B16=0,0,(B16-C16)/SUM($B$2:$B$1000)),"")</f>
        <v/>
      </c>
      <c r="F16">
        <f>IFERROR(IF(B16&lt;3,"Not enough data",IF(D16&lt;0.25,"Priced too high - losses cluster here",IF(D16&lt;0.4,"Watch - softening conversion","Healthy price band"))),"")</f>
        <v/>
      </c>
    </row>
    <row r="17">
      <c r="D17">
        <f>IFERROR(IF(B17=0,0,C17/B17),"")</f>
        <v/>
      </c>
      <c r="E17">
        <f>IFERROR(IF(B17=0,0,(B17-C17)/SUM($B$2:$B$1000)),"")</f>
        <v/>
      </c>
      <c r="F17">
        <f>IFERROR(IF(B17&lt;3,"Not enough data",IF(D17&lt;0.25,"Priced too high - losses cluster here",IF(D17&lt;0.4,"Watch - softening conversion","Healthy price band"))),"")</f>
        <v/>
      </c>
    </row>
    <row r="18">
      <c r="D18">
        <f>IFERROR(IF(B18=0,0,C18/B18),"")</f>
        <v/>
      </c>
      <c r="E18">
        <f>IFERROR(IF(B18=0,0,(B18-C18)/SUM($B$2:$B$1000)),"")</f>
        <v/>
      </c>
      <c r="F18">
        <f>IFERROR(IF(B18&lt;3,"Not enough data",IF(D18&lt;0.25,"Priced too high - losses cluster here",IF(D18&lt;0.4,"Watch - softening conversion","Healthy price band"))),"")</f>
        <v/>
      </c>
    </row>
    <row r="19">
      <c r="D19">
        <f>IFERROR(IF(B19=0,0,C19/B19),"")</f>
        <v/>
      </c>
      <c r="E19">
        <f>IFERROR(IF(B19=0,0,(B19-C19)/SUM($B$2:$B$1000)),"")</f>
        <v/>
      </c>
      <c r="F19">
        <f>IFERROR(IF(B19&lt;3,"Not enough data",IF(D19&lt;0.25,"Priced too high - losses cluster here",IF(D19&lt;0.4,"Watch - softening conversion","Healthy price band"))),"")</f>
        <v/>
      </c>
    </row>
    <row r="20">
      <c r="D20">
        <f>IFERROR(IF(B20=0,0,C20/B20),"")</f>
        <v/>
      </c>
      <c r="E20">
        <f>IFERROR(IF(B20=0,0,(B20-C20)/SUM($B$2:$B$1000)),"")</f>
        <v/>
      </c>
      <c r="F20">
        <f>IFERROR(IF(B20&lt;3,"Not enough data",IF(D20&lt;0.25,"Priced too high - losses cluster here",IF(D20&lt;0.4,"Watch - softening conversion","Healthy price band"))),"")</f>
        <v/>
      </c>
    </row>
    <row r="21">
      <c r="D21">
        <f>IFERROR(IF(B21=0,0,C21/B21),"")</f>
        <v/>
      </c>
      <c r="E21">
        <f>IFERROR(IF(B21=0,0,(B21-C21)/SUM($B$2:$B$1000)),"")</f>
        <v/>
      </c>
      <c r="F21">
        <f>IFERROR(IF(B21&lt;3,"Not enough data",IF(D21&lt;0.25,"Priced too high - losses cluster here",IF(D21&lt;0.4,"Watch - softening conversion","Healthy price band"))),"")</f>
        <v/>
      </c>
    </row>
    <row r="22">
      <c r="D22">
        <f>IFERROR(IF(B22=0,0,C22/B22),"")</f>
        <v/>
      </c>
      <c r="E22">
        <f>IFERROR(IF(B22=0,0,(B22-C22)/SUM($B$2:$B$1000)),"")</f>
        <v/>
      </c>
      <c r="F22">
        <f>IFERROR(IF(B22&lt;3,"Not enough data",IF(D22&lt;0.25,"Priced too high - losses cluster here",IF(D22&lt;0.4,"Watch - softening conversion","Healthy price band"))),"")</f>
        <v/>
      </c>
    </row>
    <row r="23">
      <c r="D23">
        <f>IFERROR(IF(B23=0,0,C23/B23),"")</f>
        <v/>
      </c>
      <c r="E23">
        <f>IFERROR(IF(B23=0,0,(B23-C23)/SUM($B$2:$B$1000)),"")</f>
        <v/>
      </c>
      <c r="F23">
        <f>IFERROR(IF(B23&lt;3,"Not enough data",IF(D23&lt;0.25,"Priced too high - losses cluster here",IF(D23&lt;0.4,"Watch - softening conversion","Healthy price band"))),"")</f>
        <v/>
      </c>
    </row>
  </sheetData>
  <mergeCells count="1">
    <mergeCell ref="A1:F3"/>
  </mergeCells>
  <conditionalFormatting sqref="D6:D23">
    <cfRule type="cellIs" priority="1" operator="lessThan" dxfId="0">
      <formula>0.25</formula>
    </cfRule>
    <cfRule type="cellIs" priority="2" operator="greaterThan" dxfId="1">
      <formula>0.4</formula>
    </cfRule>
  </conditionalFormatting>
  <conditionalFormatting sqref="E6:E23">
    <cfRule type="cellIs" priority="3" operator="greaterThan" dxfId="2">
      <formula>0.3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2026-06-29T02:59:02Z</dcterms:created>
  <dcterms:modified xsi:type="dcterms:W3CDTF">2026-06-29T03:44:05Z</dcterms:modified>
</cp:coreProperties>
</file>